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vs-POLA/Protein assays/"/>
    </mc:Choice>
  </mc:AlternateContent>
  <xr:revisionPtr revIDLastSave="144" documentId="8_{A366A24B-99D9-49E4-B71B-B0956D72CEB2}" xr6:coauthVersionLast="47" xr6:coauthVersionMax="47" xr10:uidLastSave="{5EA10CE3-F062-4F65-AB9A-1A8ACE10FE5B}"/>
  <bookViews>
    <workbookView xWindow="21450" yWindow="1290" windowWidth="14400" windowHeight="15600" xr2:uid="{A72CBACF-C73F-4B89-8D80-3E38C5F68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" i="1" l="1"/>
  <c r="Z6" i="1"/>
  <c r="Z5" i="1"/>
  <c r="Z2" i="1"/>
  <c r="Z3" i="1"/>
  <c r="Z4" i="1"/>
  <c r="V8" i="1"/>
  <c r="V9" i="1"/>
  <c r="V10" i="1"/>
  <c r="V11" i="1"/>
  <c r="V12" i="1"/>
  <c r="V13" i="1"/>
  <c r="V14" i="1"/>
  <c r="V15" i="1"/>
  <c r="V16" i="1"/>
  <c r="V17" i="1"/>
  <c r="V18" i="1"/>
  <c r="V19" i="1"/>
  <c r="U9" i="1"/>
  <c r="U10" i="1"/>
  <c r="U11" i="1"/>
  <c r="U12" i="1"/>
  <c r="U13" i="1"/>
  <c r="U14" i="1"/>
  <c r="U15" i="1"/>
  <c r="U16" i="1"/>
  <c r="U17" i="1"/>
  <c r="U18" i="1"/>
  <c r="U1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G12" i="1"/>
  <c r="F13" i="1"/>
  <c r="G13" i="1" s="1"/>
  <c r="S2" i="1"/>
  <c r="U2" i="1" s="1"/>
  <c r="V2" i="1" s="1"/>
  <c r="T2" i="1"/>
  <c r="S3" i="1"/>
  <c r="U3" i="1"/>
  <c r="V3" i="1" s="1"/>
  <c r="S4" i="1"/>
  <c r="U5" i="1"/>
  <c r="V5" i="1" s="1"/>
  <c r="U7" i="1"/>
  <c r="V7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12" i="1"/>
  <c r="U4" i="1" l="1"/>
  <c r="V4" i="1" s="1"/>
  <c r="U8" i="1"/>
  <c r="U6" i="1"/>
  <c r="V6" i="1" s="1"/>
</calcChain>
</file>

<file path=xl/sharedStrings.xml><?xml version="1.0" encoding="utf-8"?>
<sst xmlns="http://schemas.openxmlformats.org/spreadsheetml/2006/main" count="41" uniqueCount="34">
  <si>
    <t>STD</t>
  </si>
  <si>
    <t>mg/mL Protein</t>
  </si>
  <si>
    <t>Avg</t>
  </si>
  <si>
    <t>avg - blank</t>
  </si>
  <si>
    <t>Sample ID</t>
  </si>
  <si>
    <t>protein mg/ml</t>
  </si>
  <si>
    <t>Average Protein (mg/mL)</t>
  </si>
  <si>
    <t>a</t>
  </si>
  <si>
    <t>b</t>
  </si>
  <si>
    <t>c</t>
  </si>
  <si>
    <t>Diluted Average Protein (mg/mL)</t>
  </si>
  <si>
    <t>C4</t>
  </si>
  <si>
    <t>O4</t>
  </si>
  <si>
    <t>P4</t>
  </si>
  <si>
    <t>C5</t>
  </si>
  <si>
    <t>O5</t>
  </si>
  <si>
    <t>P5</t>
  </si>
  <si>
    <t>C6</t>
  </si>
  <si>
    <t>O6</t>
  </si>
  <si>
    <t>P6</t>
  </si>
  <si>
    <t>C7</t>
  </si>
  <si>
    <t>O7</t>
  </si>
  <si>
    <t>P7</t>
  </si>
  <si>
    <t>C8</t>
  </si>
  <si>
    <t>O8</t>
  </si>
  <si>
    <t>P8</t>
  </si>
  <si>
    <t>C9</t>
  </si>
  <si>
    <t>O9</t>
  </si>
  <si>
    <t>P9</t>
  </si>
  <si>
    <t>Pooled round protein (mg/mL)</t>
  </si>
  <si>
    <t>Control</t>
  </si>
  <si>
    <t>OPLA</t>
  </si>
  <si>
    <t>POLA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</si>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</sst>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Sheet1!$H$11</c:f>
              <c:strCache>
                <c:ptCount val="1"/>
                <c:pt idx="0">
                  <c:v>mg/mL Protein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Sheet1!$G$12:$G$19</c:f>
              <c:numCache>
                <c:formatCode>General</c:formatCode>
                <c:ptCount val="8"/>
                <c:pt idx="0">
                  <c:v>0.57320000000000004</c:v>
                </c:pt>
                <c:pt idx="1">
                  <c:v>0.41244999999999998</c:v>
                </c:pt>
                <c:pt idx="2">
                  <c:v>0.33750000000000002</c:v>
                </c:pt>
                <c:pt idx="3">
                  <c:v>0.27395000000000003</c:v>
                </c:pt>
                <c:pt idx="4">
                  <c:v>0.15459999999999999</c:v>
                </c:pt>
                <c:pt idx="5">
                  <c:v>9.2499999999999999E-2</c:v>
                </c:pt>
                <c:pt idx="6">
                  <c:v>5.1199999999999996E-2</c:v>
                </c:pt>
                <c:pt idx="7">
                  <c:v>0</c:v>
                </c:pt>
              </c:numCache>
            </c:numRef>
          </c:xVal>
          <c:yVal>
            <c:numRef>
              <c:f>Sheet1!$H$12:$H$19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1.6</c:v>
                </c:pt>
                <c:pt idx="4">
                  <c:v>0.8</c:v>
                </c:pt>
                <c:pt idx="5">
                  <c:v>0.4</c:v>
                </c:pt>
                <c:pt idx="6">
                  <c:v>0.2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0D-4EBE-9258-9FDD95B23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805296"/>
        <c:axId val="606804880"/>
      </c:scatterChart>
      <c:valAx>
        <c:axId val="60680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04880"/>
        <c:crosses val="autoZero"/>
        <c:crossBetween val="midCat"/>
      </c:valAx>
      <c:valAx>
        <c:axId val="6068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Protein</a:t>
                </a:r>
                <a:r>
                  <a:rPr lang="en-GB" baseline="0"/>
                  <a:t> (mg/mL)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0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857250</xdr:colOff>
      <xdr:row>19</xdr:row>
      <xdr:rowOff>152399</xdr:rowOff>
    </xdr:from>
    <xdr:to>
      <xdr:col>10</xdr:col>
      <xdr:colOff>28575</xdr:colOff>
      <xdr:row>38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30260-0716-420E-8190-DC7B0E793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D150-E62F-4196-A9DA-D891FF606EAF}">
  <dimension ref="B1:Z19"/>
  <sheetViews>
    <sheetView tabSelected="1" topLeftCell="T1" workbookViewId="0">
      <selection activeCell="Z15" sqref="Z15"/>
    </sheetView>
  </sheetViews>
  <sheetFormatPr defaultRowHeight="15" x14ac:dyDescent="0.25"/>
  <cols>
    <col min="2" max="2" width="12.140625" customWidth="1"/>
    <col min="3" max="3" width="17.7109375" customWidth="1"/>
    <col min="4" max="4" width="19" customWidth="1"/>
    <col min="5" max="5" width="14.85546875" customWidth="1"/>
    <col min="7" max="7" width="11.7109375" customWidth="1"/>
    <col min="19" max="19" width="14.140625" customWidth="1"/>
    <col min="20" max="20" width="13.7109375" customWidth="1"/>
    <col min="21" max="21" width="29.7109375" customWidth="1"/>
    <col min="22" max="22" width="29.42578125" customWidth="1"/>
    <col min="26" max="26" width="28.42578125" customWidth="1"/>
  </cols>
  <sheetData>
    <row r="1" spans="2:26" x14ac:dyDescent="0.25">
      <c r="B1" t="s">
        <v>0</v>
      </c>
      <c r="C1" t="s">
        <v>0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P1" t="s">
        <v>4</v>
      </c>
      <c r="S1" t="s">
        <v>5</v>
      </c>
      <c r="T1" t="s">
        <v>5</v>
      </c>
      <c r="U1" t="s">
        <v>10</v>
      </c>
      <c r="V1" t="s">
        <v>6</v>
      </c>
      <c r="Y1" t="s">
        <v>33</v>
      </c>
      <c r="Z1" t="s">
        <v>29</v>
      </c>
    </row>
    <row r="2" spans="2:26" x14ac:dyDescent="0.25">
      <c r="B2">
        <v>0.66469999999999996</v>
      </c>
      <c r="C2">
        <v>0.60719999999999996</v>
      </c>
      <c r="E2">
        <v>0.32579999999999998</v>
      </c>
      <c r="F2">
        <v>0.36299999999999999</v>
      </c>
      <c r="G2">
        <v>0.30940000000000001</v>
      </c>
      <c r="H2">
        <v>0.31859999999999999</v>
      </c>
      <c r="I2">
        <v>0.34970000000000001</v>
      </c>
      <c r="J2">
        <v>0.28649999999999998</v>
      </c>
      <c r="K2">
        <v>0.30130000000000001</v>
      </c>
      <c r="L2">
        <v>0.30030000000000001</v>
      </c>
      <c r="M2">
        <v>0.30869999999999997</v>
      </c>
      <c r="P2" t="s">
        <v>11</v>
      </c>
      <c r="Q2">
        <v>0.32579999999999998</v>
      </c>
      <c r="R2">
        <v>0.30080000000000001</v>
      </c>
      <c r="S2">
        <f>$M$11*(Q2*Q2)+$M$12*(Q2)+$M$13</f>
        <v>2.1901473254399995</v>
      </c>
      <c r="T2">
        <f>$M$11*(R2*R2)+$M$12*(R2)+$M$13</f>
        <v>2.0040394854399999</v>
      </c>
      <c r="U2">
        <f>AVERAGE(S2:T2)</f>
        <v>2.0970934054399999</v>
      </c>
      <c r="V2">
        <f>U2*5</f>
        <v>10.485467027199999</v>
      </c>
      <c r="X2" t="s">
        <v>30</v>
      </c>
      <c r="Y2">
        <v>2</v>
      </c>
      <c r="Z2">
        <f>AVERAGE(V2,V5,V8)</f>
        <v>9.9113870719333335</v>
      </c>
    </row>
    <row r="3" spans="2:26" x14ac:dyDescent="0.25">
      <c r="B3">
        <v>0.48149999999999998</v>
      </c>
      <c r="C3">
        <v>0.46889999999999998</v>
      </c>
      <c r="E3">
        <v>0.30080000000000001</v>
      </c>
      <c r="F3">
        <v>0.2949</v>
      </c>
      <c r="G3">
        <v>0.2838</v>
      </c>
      <c r="H3">
        <v>0.27429999999999999</v>
      </c>
      <c r="I3">
        <v>0.33019999999999999</v>
      </c>
      <c r="J3">
        <v>0.27010000000000001</v>
      </c>
      <c r="K3">
        <v>0.26500000000000001</v>
      </c>
      <c r="L3">
        <v>0.3019</v>
      </c>
      <c r="M3">
        <v>0.2712</v>
      </c>
      <c r="P3" t="s">
        <v>12</v>
      </c>
      <c r="Q3">
        <v>0.36299999999999999</v>
      </c>
      <c r="R3">
        <v>0.2949</v>
      </c>
      <c r="S3">
        <f t="shared" ref="S3:S19" si="0">$M$11*(Q3*Q3)+$M$12*(Q3)+$M$13</f>
        <v>2.474470824</v>
      </c>
      <c r="T3">
        <f t="shared" ref="T3:T19" si="1">$M$11*(R3*R3)+$M$12*(R3)+$M$13</f>
        <v>1.9607006979600001</v>
      </c>
      <c r="U3">
        <f t="shared" ref="U3:U19" si="2">AVERAGE(S3:T3)</f>
        <v>2.21758576098</v>
      </c>
      <c r="V3">
        <f t="shared" ref="V3:V19" si="3">U3*5</f>
        <v>11.087928804900001</v>
      </c>
      <c r="X3" t="s">
        <v>31</v>
      </c>
      <c r="Y3">
        <v>2</v>
      </c>
      <c r="Z3">
        <f>AVERAGE(V3,V6,V9)</f>
        <v>10.8689926372</v>
      </c>
    </row>
    <row r="4" spans="2:26" x14ac:dyDescent="0.25">
      <c r="B4">
        <v>0.4017</v>
      </c>
      <c r="C4">
        <v>0.39879999999999999</v>
      </c>
      <c r="P4" t="s">
        <v>13</v>
      </c>
      <c r="Q4">
        <v>0.30940000000000001</v>
      </c>
      <c r="R4">
        <v>0.2838</v>
      </c>
      <c r="S4">
        <f t="shared" si="0"/>
        <v>2.0676098185600003</v>
      </c>
      <c r="T4">
        <f t="shared" si="1"/>
        <v>1.8797680982399998</v>
      </c>
      <c r="U4">
        <f t="shared" si="2"/>
        <v>1.9736889583999999</v>
      </c>
      <c r="V4">
        <f t="shared" si="3"/>
        <v>9.868444792</v>
      </c>
      <c r="X4" t="s">
        <v>32</v>
      </c>
      <c r="Y4">
        <v>2</v>
      </c>
      <c r="Z4">
        <f>AVERAGE(V4,V7,V10)</f>
        <v>9.5658290743666665</v>
      </c>
    </row>
    <row r="5" spans="2:26" x14ac:dyDescent="0.25">
      <c r="B5">
        <v>0.34039999999999998</v>
      </c>
      <c r="C5">
        <v>0.33300000000000002</v>
      </c>
      <c r="E5">
        <v>0.30709999999999998</v>
      </c>
      <c r="F5">
        <v>0.37080000000000002</v>
      </c>
      <c r="G5">
        <v>0.30630000000000002</v>
      </c>
      <c r="H5">
        <v>0.26819999999999999</v>
      </c>
      <c r="I5">
        <v>0.35299999999999998</v>
      </c>
      <c r="J5">
        <v>0.32619999999999999</v>
      </c>
      <c r="K5">
        <v>0.29409999999999997</v>
      </c>
      <c r="L5">
        <v>0.39019999999999999</v>
      </c>
      <c r="M5">
        <v>0.2888</v>
      </c>
      <c r="P5" t="s">
        <v>14</v>
      </c>
      <c r="Q5">
        <v>0.31859999999999999</v>
      </c>
      <c r="R5">
        <v>0.27429999999999999</v>
      </c>
      <c r="S5">
        <f t="shared" si="0"/>
        <v>2.1361386681599996</v>
      </c>
      <c r="T5">
        <f t="shared" si="1"/>
        <v>1.8111269160400001</v>
      </c>
      <c r="U5">
        <f t="shared" si="2"/>
        <v>1.9736327920999999</v>
      </c>
      <c r="V5">
        <f t="shared" si="3"/>
        <v>9.8681639604999987</v>
      </c>
      <c r="X5" t="s">
        <v>30</v>
      </c>
      <c r="Y5">
        <v>3</v>
      </c>
      <c r="Z5">
        <f>AVERAGE(V11,V14,V17)</f>
        <v>9.6064679761333327</v>
      </c>
    </row>
    <row r="6" spans="2:26" x14ac:dyDescent="0.25">
      <c r="B6">
        <v>0.22559999999999999</v>
      </c>
      <c r="C6">
        <v>0.20910000000000001</v>
      </c>
      <c r="E6">
        <v>0.31190000000000001</v>
      </c>
      <c r="F6">
        <v>0.35670000000000002</v>
      </c>
      <c r="G6">
        <v>0.28139999999999998</v>
      </c>
      <c r="H6">
        <v>0.24779999999999999</v>
      </c>
      <c r="I6">
        <v>0.32400000000000001</v>
      </c>
      <c r="J6">
        <v>0.27989999999999998</v>
      </c>
      <c r="K6">
        <v>0.30649999999999999</v>
      </c>
      <c r="L6">
        <v>0.33829999999999999</v>
      </c>
      <c r="M6">
        <v>0.28849999999999998</v>
      </c>
      <c r="P6" t="s">
        <v>15</v>
      </c>
      <c r="Q6">
        <v>0.34970000000000001</v>
      </c>
      <c r="R6">
        <v>0.33019999999999999</v>
      </c>
      <c r="S6">
        <f t="shared" si="0"/>
        <v>2.3718016176399996</v>
      </c>
      <c r="T6">
        <f t="shared" si="1"/>
        <v>2.2233157398399999</v>
      </c>
      <c r="U6">
        <f t="shared" si="2"/>
        <v>2.2975586787399997</v>
      </c>
      <c r="V6">
        <f t="shared" si="3"/>
        <v>11.487793393699999</v>
      </c>
      <c r="X6" t="s">
        <v>31</v>
      </c>
      <c r="Y6">
        <v>3</v>
      </c>
      <c r="Z6">
        <f>AVERAGE(V12,V15,V18)</f>
        <v>12.089459591799999</v>
      </c>
    </row>
    <row r="7" spans="2:26" x14ac:dyDescent="0.25">
      <c r="B7">
        <v>0.158</v>
      </c>
      <c r="C7">
        <v>0.1525</v>
      </c>
      <c r="P7" t="s">
        <v>16</v>
      </c>
      <c r="Q7">
        <v>0.28649999999999998</v>
      </c>
      <c r="R7">
        <v>0.27010000000000001</v>
      </c>
      <c r="S7">
        <f t="shared" si="0"/>
        <v>1.8993819209999998</v>
      </c>
      <c r="T7">
        <f t="shared" si="1"/>
        <v>1.7809641859600001</v>
      </c>
      <c r="U7">
        <f t="shared" si="2"/>
        <v>1.84017305348</v>
      </c>
      <c r="V7">
        <f t="shared" si="3"/>
        <v>9.2008652674000011</v>
      </c>
      <c r="X7" t="s">
        <v>32</v>
      </c>
      <c r="Y7">
        <v>3</v>
      </c>
      <c r="Z7">
        <f>AVERAGE(V13,V16,V19)</f>
        <v>9.8181311856999987</v>
      </c>
    </row>
    <row r="8" spans="2:26" x14ac:dyDescent="0.25">
      <c r="B8">
        <v>0.11550000000000001</v>
      </c>
      <c r="C8">
        <v>0.1124</v>
      </c>
      <c r="P8" t="s">
        <v>17</v>
      </c>
      <c r="Q8">
        <v>0.30130000000000001</v>
      </c>
      <c r="R8">
        <v>0.26500000000000001</v>
      </c>
      <c r="S8">
        <f t="shared" si="0"/>
        <v>2.00772249124</v>
      </c>
      <c r="T8">
        <f t="shared" si="1"/>
        <v>1.7444896000000003</v>
      </c>
      <c r="U8">
        <f t="shared" si="2"/>
        <v>1.8761060456200003</v>
      </c>
      <c r="V8">
        <f t="shared" si="3"/>
        <v>9.3805302281000014</v>
      </c>
    </row>
    <row r="9" spans="2:26" x14ac:dyDescent="0.25">
      <c r="B9">
        <v>6.2899999999999998E-2</v>
      </c>
      <c r="C9">
        <v>6.2600000000000003E-2</v>
      </c>
      <c r="P9" t="s">
        <v>18</v>
      </c>
      <c r="Q9">
        <v>0.30030000000000001</v>
      </c>
      <c r="R9">
        <v>0.3019</v>
      </c>
      <c r="S9">
        <f t="shared" si="0"/>
        <v>2.0003580776400001</v>
      </c>
      <c r="T9">
        <f t="shared" si="1"/>
        <v>2.01214420756</v>
      </c>
      <c r="U9">
        <f t="shared" si="2"/>
        <v>2.0062511426</v>
      </c>
      <c r="V9">
        <f t="shared" si="3"/>
        <v>10.031255713</v>
      </c>
    </row>
    <row r="10" spans="2:26" x14ac:dyDescent="0.25">
      <c r="P10" t="s">
        <v>19</v>
      </c>
      <c r="Q10">
        <v>0.30869999999999997</v>
      </c>
      <c r="R10">
        <v>0.2712</v>
      </c>
      <c r="S10">
        <f t="shared" si="0"/>
        <v>2.0624178152399995</v>
      </c>
      <c r="T10">
        <f t="shared" si="1"/>
        <v>1.78885305024</v>
      </c>
      <c r="U10">
        <f t="shared" si="2"/>
        <v>1.9256354327399996</v>
      </c>
      <c r="V10">
        <f t="shared" si="3"/>
        <v>9.6281771636999984</v>
      </c>
    </row>
    <row r="11" spans="2:26" x14ac:dyDescent="0.25">
      <c r="D11" t="s">
        <v>0</v>
      </c>
      <c r="E11" t="s">
        <v>0</v>
      </c>
      <c r="F11" t="s">
        <v>2</v>
      </c>
      <c r="G11" t="s">
        <v>3</v>
      </c>
      <c r="H11" t="s">
        <v>1</v>
      </c>
      <c r="L11" t="s">
        <v>7</v>
      </c>
      <c r="M11">
        <v>3.1960000000000002</v>
      </c>
      <c r="P11" t="s">
        <v>20</v>
      </c>
      <c r="Q11">
        <v>0.30709999999999998</v>
      </c>
      <c r="R11">
        <v>0.31190000000000001</v>
      </c>
      <c r="S11">
        <f t="shared" si="0"/>
        <v>2.0505621403599998</v>
      </c>
      <c r="T11">
        <f t="shared" si="1"/>
        <v>2.0861782555600001</v>
      </c>
      <c r="U11">
        <f t="shared" si="2"/>
        <v>2.0683701979600002</v>
      </c>
      <c r="V11">
        <f t="shared" si="3"/>
        <v>10.341850989800001</v>
      </c>
    </row>
    <row r="12" spans="2:26" x14ac:dyDescent="0.25">
      <c r="D12">
        <v>0.66469999999999996</v>
      </c>
      <c r="E12">
        <v>0.60719999999999996</v>
      </c>
      <c r="F12">
        <f>AVERAGE(D12:E12)</f>
        <v>0.63595000000000002</v>
      </c>
      <c r="G12">
        <f>F12-$F$19</f>
        <v>0.57320000000000004</v>
      </c>
      <c r="H12">
        <v>4</v>
      </c>
      <c r="L12" t="s">
        <v>8</v>
      </c>
      <c r="M12">
        <v>5.4417</v>
      </c>
      <c r="P12" t="s">
        <v>21</v>
      </c>
      <c r="Q12">
        <v>0.37080000000000002</v>
      </c>
      <c r="R12">
        <v>0.35670000000000002</v>
      </c>
      <c r="S12">
        <f t="shared" si="0"/>
        <v>2.5352088374399999</v>
      </c>
      <c r="T12">
        <f t="shared" si="1"/>
        <v>2.4256970984400001</v>
      </c>
      <c r="U12">
        <f t="shared" si="2"/>
        <v>2.4804529679399998</v>
      </c>
      <c r="V12">
        <f t="shared" si="3"/>
        <v>12.402264839699999</v>
      </c>
    </row>
    <row r="13" spans="2:26" x14ac:dyDescent="0.25">
      <c r="D13">
        <v>0.48149999999999998</v>
      </c>
      <c r="E13">
        <v>0.46889999999999998</v>
      </c>
      <c r="F13">
        <f>AVERAGE(D13:E13)</f>
        <v>0.47519999999999996</v>
      </c>
      <c r="G13">
        <f t="shared" ref="G13:G19" si="4">F13-$F$19</f>
        <v>0.41244999999999998</v>
      </c>
      <c r="H13">
        <v>3</v>
      </c>
      <c r="L13" t="s">
        <v>9</v>
      </c>
      <c r="M13">
        <v>7.8E-2</v>
      </c>
      <c r="P13" t="s">
        <v>22</v>
      </c>
      <c r="Q13">
        <v>0.30630000000000002</v>
      </c>
      <c r="R13">
        <v>0.28139999999999998</v>
      </c>
      <c r="S13">
        <f t="shared" si="0"/>
        <v>2.0446404392400002</v>
      </c>
      <c r="T13">
        <f t="shared" si="1"/>
        <v>1.8623727081599999</v>
      </c>
      <c r="U13">
        <f t="shared" si="2"/>
        <v>1.9535065736999999</v>
      </c>
      <c r="V13">
        <f t="shared" si="3"/>
        <v>9.7675328685</v>
      </c>
    </row>
    <row r="14" spans="2:26" x14ac:dyDescent="0.25">
      <c r="D14">
        <v>0.4017</v>
      </c>
      <c r="E14">
        <v>0.39879999999999999</v>
      </c>
      <c r="F14">
        <f t="shared" ref="F13:F19" si="5">AVERAGE(D14:E14)</f>
        <v>0.40024999999999999</v>
      </c>
      <c r="G14">
        <f t="shared" si="4"/>
        <v>0.33750000000000002</v>
      </c>
      <c r="H14">
        <v>2</v>
      </c>
      <c r="P14" t="s">
        <v>23</v>
      </c>
      <c r="Q14">
        <v>0.26819999999999999</v>
      </c>
      <c r="R14">
        <v>0.24779999999999999</v>
      </c>
      <c r="S14">
        <f t="shared" si="0"/>
        <v>1.7673561830400002</v>
      </c>
      <c r="T14">
        <f t="shared" si="1"/>
        <v>1.62270312864</v>
      </c>
      <c r="U14">
        <f t="shared" si="2"/>
        <v>1.69502965584</v>
      </c>
      <c r="V14">
        <f t="shared" si="3"/>
        <v>8.475148279199999</v>
      </c>
    </row>
    <row r="15" spans="2:26" x14ac:dyDescent="0.25">
      <c r="D15">
        <v>0.34039999999999998</v>
      </c>
      <c r="E15">
        <v>0.33300000000000002</v>
      </c>
      <c r="F15">
        <f t="shared" si="5"/>
        <v>0.3367</v>
      </c>
      <c r="G15">
        <f t="shared" si="4"/>
        <v>0.27395000000000003</v>
      </c>
      <c r="H15">
        <v>1.6</v>
      </c>
      <c r="P15" t="s">
        <v>24</v>
      </c>
      <c r="Q15">
        <v>0.35299999999999998</v>
      </c>
      <c r="R15">
        <v>0.32400000000000001</v>
      </c>
      <c r="S15">
        <f t="shared" si="0"/>
        <v>2.3971704639999998</v>
      </c>
      <c r="T15">
        <f t="shared" si="1"/>
        <v>2.1766140959999998</v>
      </c>
      <c r="U15">
        <f t="shared" si="2"/>
        <v>2.28689228</v>
      </c>
      <c r="V15">
        <f t="shared" si="3"/>
        <v>11.4344614</v>
      </c>
    </row>
    <row r="16" spans="2:26" x14ac:dyDescent="0.25">
      <c r="D16">
        <v>0.22559999999999999</v>
      </c>
      <c r="E16">
        <v>0.20910000000000001</v>
      </c>
      <c r="F16">
        <f t="shared" si="5"/>
        <v>0.21734999999999999</v>
      </c>
      <c r="G16">
        <f t="shared" si="4"/>
        <v>0.15459999999999999</v>
      </c>
      <c r="H16">
        <v>0.8</v>
      </c>
      <c r="P16" t="s">
        <v>25</v>
      </c>
      <c r="Q16">
        <v>0.32619999999999999</v>
      </c>
      <c r="R16">
        <v>0.27989999999999998</v>
      </c>
      <c r="S16">
        <f t="shared" si="0"/>
        <v>2.1931575222399995</v>
      </c>
      <c r="T16">
        <f t="shared" si="1"/>
        <v>1.85151928596</v>
      </c>
      <c r="U16">
        <f t="shared" si="2"/>
        <v>2.0223384040999997</v>
      </c>
      <c r="V16">
        <f t="shared" si="3"/>
        <v>10.111692020499998</v>
      </c>
    </row>
    <row r="17" spans="4:22" x14ac:dyDescent="0.25">
      <c r="D17">
        <v>0.158</v>
      </c>
      <c r="E17">
        <v>0.1525</v>
      </c>
      <c r="F17">
        <f t="shared" si="5"/>
        <v>0.15525</v>
      </c>
      <c r="G17">
        <f t="shared" si="4"/>
        <v>9.2499999999999999E-2</v>
      </c>
      <c r="H17">
        <v>0.4</v>
      </c>
      <c r="P17" t="s">
        <v>26</v>
      </c>
      <c r="Q17">
        <v>0.29409999999999997</v>
      </c>
      <c r="R17">
        <v>0.30649999999999999</v>
      </c>
      <c r="S17">
        <f t="shared" si="0"/>
        <v>1.95484138276</v>
      </c>
      <c r="T17">
        <f t="shared" si="1"/>
        <v>2.046120481</v>
      </c>
      <c r="U17">
        <f t="shared" si="2"/>
        <v>2.0004809318799999</v>
      </c>
      <c r="V17">
        <f t="shared" si="3"/>
        <v>10.0024046594</v>
      </c>
    </row>
    <row r="18" spans="4:22" x14ac:dyDescent="0.25">
      <c r="D18">
        <v>0.11550000000000001</v>
      </c>
      <c r="E18">
        <v>0.1124</v>
      </c>
      <c r="F18">
        <f t="shared" si="5"/>
        <v>0.11395</v>
      </c>
      <c r="G18">
        <f t="shared" si="4"/>
        <v>5.1199999999999996E-2</v>
      </c>
      <c r="H18">
        <v>0.2</v>
      </c>
      <c r="P18" t="s">
        <v>27</v>
      </c>
      <c r="Q18">
        <v>0.39019999999999999</v>
      </c>
      <c r="R18">
        <v>0.33829999999999999</v>
      </c>
      <c r="S18">
        <f t="shared" si="0"/>
        <v>2.68796164384</v>
      </c>
      <c r="T18">
        <f t="shared" si="1"/>
        <v>2.2846993704399998</v>
      </c>
      <c r="U18">
        <f t="shared" si="2"/>
        <v>2.4863305071399999</v>
      </c>
      <c r="V18">
        <f t="shared" si="3"/>
        <v>12.4316525357</v>
      </c>
    </row>
    <row r="19" spans="4:22" x14ac:dyDescent="0.25">
      <c r="D19">
        <v>6.2899999999999998E-2</v>
      </c>
      <c r="E19">
        <v>6.2600000000000003E-2</v>
      </c>
      <c r="F19">
        <f t="shared" si="5"/>
        <v>6.275E-2</v>
      </c>
      <c r="G19">
        <f t="shared" si="4"/>
        <v>0</v>
      </c>
      <c r="H19">
        <v>0</v>
      </c>
      <c r="P19" t="s">
        <v>28</v>
      </c>
      <c r="Q19">
        <v>0.2888</v>
      </c>
      <c r="R19">
        <v>0.28849999999999998</v>
      </c>
      <c r="S19">
        <f t="shared" si="0"/>
        <v>1.91612674624</v>
      </c>
      <c r="T19">
        <f t="shared" si="1"/>
        <v>1.9139407210000001</v>
      </c>
      <c r="U19">
        <f t="shared" si="2"/>
        <v>1.9150337336200001</v>
      </c>
      <c r="V19">
        <f t="shared" si="3"/>
        <v>9.5751686680999999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2021-12-01T12:53:40Z</dcterms:created>
  <dcterms:modified xsi:type="dcterms:W3CDTF">2022-02-18T16:18:24Z</dcterms:modified>
</cp:coreProperties>
</file>