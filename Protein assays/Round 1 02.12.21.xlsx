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vs POLA/Protein assays/"/>
    </mc:Choice>
  </mc:AlternateContent>
  <xr:revisionPtr revIDLastSave="65" documentId="8_{A366A24B-99D9-49E4-B71B-B0956D72CEB2}" xr6:coauthVersionLast="47" xr6:coauthVersionMax="47" xr10:uidLastSave="{E4052390-F7CD-4868-A399-F8A5FD2B94F9}"/>
  <bookViews>
    <workbookView xWindow="-120" yWindow="-120" windowWidth="29040" windowHeight="15840" xr2:uid="{A72CBACF-C73F-4B89-8D80-3E38C5F68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V4" i="1" s="1"/>
  <c r="U5" i="1"/>
  <c r="U6" i="1"/>
  <c r="U7" i="1"/>
  <c r="U8" i="1"/>
  <c r="V8" i="1" s="1"/>
  <c r="U9" i="1"/>
  <c r="V9" i="1" s="1"/>
  <c r="U10" i="1"/>
  <c r="V10" i="1" s="1"/>
  <c r="U11" i="1"/>
  <c r="V5" i="1"/>
  <c r="V6" i="1"/>
  <c r="V7" i="1"/>
  <c r="V11" i="1"/>
  <c r="T4" i="1"/>
  <c r="T5" i="1"/>
  <c r="T6" i="1"/>
  <c r="T7" i="1"/>
  <c r="T8" i="1"/>
  <c r="T9" i="1"/>
  <c r="T10" i="1"/>
  <c r="T11" i="1"/>
  <c r="V3" i="1"/>
  <c r="U3" i="1"/>
  <c r="T3" i="1"/>
  <c r="S4" i="1"/>
  <c r="S5" i="1"/>
  <c r="S6" i="1"/>
  <c r="S7" i="1"/>
  <c r="S8" i="1"/>
  <c r="S9" i="1"/>
  <c r="S10" i="1"/>
  <c r="S11" i="1"/>
  <c r="S3" i="1"/>
  <c r="G14" i="1"/>
  <c r="G15" i="1"/>
  <c r="G16" i="1"/>
  <c r="G17" i="1"/>
  <c r="G18" i="1"/>
  <c r="G19" i="1"/>
  <c r="G20" i="1"/>
  <c r="G13" i="1"/>
  <c r="F14" i="1"/>
  <c r="F15" i="1"/>
  <c r="F16" i="1"/>
  <c r="F17" i="1"/>
  <c r="F18" i="1"/>
  <c r="F19" i="1"/>
  <c r="F20" i="1"/>
  <c r="F13" i="1"/>
</calcChain>
</file>

<file path=xl/sharedStrings.xml><?xml version="1.0" encoding="utf-8"?>
<sst xmlns="http://schemas.openxmlformats.org/spreadsheetml/2006/main" count="25" uniqueCount="21">
  <si>
    <t>STD</t>
  </si>
  <si>
    <t>mg/mL Protein</t>
  </si>
  <si>
    <t>Avg</t>
  </si>
  <si>
    <t>avg - blank</t>
  </si>
  <si>
    <t>Sample ID</t>
  </si>
  <si>
    <t>protein mg/ml</t>
  </si>
  <si>
    <t>Average Protein (mg/mL)</t>
  </si>
  <si>
    <t>y = ax*x +bx+c</t>
  </si>
  <si>
    <t>a</t>
  </si>
  <si>
    <t>b</t>
  </si>
  <si>
    <t>c</t>
  </si>
  <si>
    <t>C1</t>
  </si>
  <si>
    <t>C2</t>
  </si>
  <si>
    <t>C3</t>
  </si>
  <si>
    <t>O1</t>
  </si>
  <si>
    <t>O2</t>
  </si>
  <si>
    <t>O3</t>
  </si>
  <si>
    <t>P1</t>
  </si>
  <si>
    <t>P2</t>
  </si>
  <si>
    <t>P3</t>
  </si>
  <si>
    <t>Diluted Average Protein (mg/mL)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</si>
</sst>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Sheet1!$H$12</c:f>
              <c:strCache>
                <c:ptCount val="1"/>
                <c:pt idx="0">
                  <c:v>mg/mL Protein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Sheet1!$G$13:$G$20</c:f>
              <c:numCache>
                <c:formatCode>General</c:formatCode>
                <c:ptCount val="8"/>
                <c:pt idx="0">
                  <c:v>0.43364999999999998</c:v>
                </c:pt>
                <c:pt idx="1">
                  <c:v>0.41674999999999995</c:v>
                </c:pt>
                <c:pt idx="2">
                  <c:v>0.29279999999999995</c:v>
                </c:pt>
                <c:pt idx="3">
                  <c:v>0.21035000000000001</c:v>
                </c:pt>
                <c:pt idx="4">
                  <c:v>0.12239999999999998</c:v>
                </c:pt>
                <c:pt idx="5">
                  <c:v>6.225E-2</c:v>
                </c:pt>
                <c:pt idx="6">
                  <c:v>4.2349999999999999E-2</c:v>
                </c:pt>
                <c:pt idx="7">
                  <c:v>0</c:v>
                </c:pt>
              </c:numCache>
            </c:numRef>
          </c:xVal>
          <c:yVal>
            <c:numRef>
              <c:f>Sheet1!$H$13:$H$20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1.6</c:v>
                </c:pt>
                <c:pt idx="4">
                  <c:v>0.8</c:v>
                </c:pt>
                <c:pt idx="5">
                  <c:v>0.4</c:v>
                </c:pt>
                <c:pt idx="6">
                  <c:v>0.2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0D-4EBE-9258-9FDD95B23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805296"/>
        <c:axId val="606804880"/>
      </c:scatterChart>
      <c:valAx>
        <c:axId val="60680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04880"/>
        <c:crosses val="autoZero"/>
        <c:crossBetween val="midCat"/>
      </c:valAx>
      <c:valAx>
        <c:axId val="6068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Protein</a:t>
                </a:r>
                <a:r>
                  <a:rPr lang="en-GB" baseline="0"/>
                  <a:t> (mg/mL)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0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20</xdr:row>
      <xdr:rowOff>180975</xdr:rowOff>
    </xdr:from>
    <xdr:to>
      <xdr:col>11</xdr:col>
      <xdr:colOff>361950</xdr:colOff>
      <xdr:row>35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30260-0716-420E-8190-DC7B0E793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D150-E62F-4196-A9DA-D891FF606EAF}">
  <dimension ref="B1:V20"/>
  <sheetViews>
    <sheetView tabSelected="1" topLeftCell="C1" workbookViewId="0">
      <selection activeCell="M12" sqref="M12"/>
    </sheetView>
  </sheetViews>
  <sheetFormatPr defaultRowHeight="15" x14ac:dyDescent="0.25"/>
  <cols>
    <col min="2" max="2" width="12.140625" customWidth="1"/>
    <col min="3" max="3" width="17.7109375" customWidth="1"/>
    <col min="4" max="4" width="19" customWidth="1"/>
    <col min="5" max="5" width="14.85546875" customWidth="1"/>
    <col min="7" max="7" width="11.7109375" customWidth="1"/>
    <col min="19" max="19" width="14.140625" customWidth="1"/>
    <col min="20" max="20" width="13.7109375" customWidth="1"/>
    <col min="21" max="21" width="29.7109375" customWidth="1"/>
    <col min="22" max="22" width="29.42578125" customWidth="1"/>
  </cols>
  <sheetData>
    <row r="1" spans="2:22" x14ac:dyDescent="0.25">
      <c r="B1" t="s">
        <v>0</v>
      </c>
      <c r="C1" t="s">
        <v>0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2:22" x14ac:dyDescent="0.25">
      <c r="B2">
        <v>0.44819999999999999</v>
      </c>
      <c r="C2">
        <v>0.57069999999999999</v>
      </c>
      <c r="P2" t="s">
        <v>4</v>
      </c>
      <c r="S2" t="s">
        <v>5</v>
      </c>
      <c r="T2" t="s">
        <v>5</v>
      </c>
      <c r="U2" t="s">
        <v>20</v>
      </c>
      <c r="V2" t="s">
        <v>6</v>
      </c>
    </row>
    <row r="3" spans="2:22" x14ac:dyDescent="0.25">
      <c r="B3">
        <v>0.50139999999999996</v>
      </c>
      <c r="C3">
        <v>0.48370000000000002</v>
      </c>
      <c r="E3">
        <v>0.32840000000000003</v>
      </c>
      <c r="F3">
        <v>0.2414</v>
      </c>
      <c r="G3">
        <v>0.25369999999999998</v>
      </c>
      <c r="H3">
        <v>0.3417</v>
      </c>
      <c r="I3">
        <v>0.34549999999999997</v>
      </c>
      <c r="J3">
        <v>0.34670000000000001</v>
      </c>
      <c r="K3">
        <v>0.31730000000000003</v>
      </c>
      <c r="L3">
        <v>0.27</v>
      </c>
      <c r="M3">
        <v>0.255</v>
      </c>
      <c r="P3" t="s">
        <v>11</v>
      </c>
      <c r="Q3">
        <v>0.32840000000000003</v>
      </c>
      <c r="R3">
        <v>0.34320000000000001</v>
      </c>
      <c r="S3">
        <f>$M$12*(Q3*Q3)+$M$13*(Q3)+$M$14</f>
        <v>2.4967794172480007</v>
      </c>
      <c r="T3">
        <f>$M$12*(R3*R3)+$M$13*(R3)+$M$14</f>
        <v>2.6402785489920002</v>
      </c>
      <c r="U3">
        <f>AVERAGE(S3:T3)</f>
        <v>2.5685289831200002</v>
      </c>
      <c r="V3">
        <f>U3*5</f>
        <v>12.842644915600001</v>
      </c>
    </row>
    <row r="4" spans="2:22" x14ac:dyDescent="0.25">
      <c r="B4">
        <v>0.36699999999999999</v>
      </c>
      <c r="C4">
        <v>0.37019999999999997</v>
      </c>
      <c r="E4">
        <v>0.34320000000000001</v>
      </c>
      <c r="F4">
        <v>0.25580000000000003</v>
      </c>
      <c r="G4">
        <v>0.2384</v>
      </c>
      <c r="H4">
        <v>0.30009999999999998</v>
      </c>
      <c r="I4">
        <v>0.31319999999999998</v>
      </c>
      <c r="J4">
        <v>0.30649999999999999</v>
      </c>
      <c r="K4">
        <v>0.26140000000000002</v>
      </c>
      <c r="L4">
        <v>0.1961</v>
      </c>
      <c r="M4">
        <v>0.20300000000000001</v>
      </c>
      <c r="P4" t="s">
        <v>12</v>
      </c>
      <c r="Q4">
        <v>0.2414</v>
      </c>
      <c r="R4">
        <v>0.25580000000000003</v>
      </c>
      <c r="S4">
        <f t="shared" ref="S4:T11" si="0">$M$12*(Q4*Q4)+$M$13*(Q4)+$M$14</f>
        <v>1.7141334341679999</v>
      </c>
      <c r="T4">
        <f t="shared" ref="T4:T11" si="1">$M$12*(R4*R4)+$M$13*(R4)+$M$14</f>
        <v>1.8364866019120001</v>
      </c>
      <c r="U4">
        <f t="shared" ref="U4:U11" si="2">AVERAGE(S4:T4)</f>
        <v>1.7753100180399999</v>
      </c>
      <c r="V4">
        <f t="shared" ref="V4:V11" si="3">U4*5</f>
        <v>8.8765500901999985</v>
      </c>
    </row>
    <row r="5" spans="2:22" x14ac:dyDescent="0.25">
      <c r="B5">
        <v>0.28989999999999999</v>
      </c>
      <c r="C5">
        <v>0.28239999999999998</v>
      </c>
      <c r="P5" t="s">
        <v>13</v>
      </c>
      <c r="Q5">
        <v>0.25369999999999998</v>
      </c>
      <c r="R5">
        <v>0.2384</v>
      </c>
      <c r="S5">
        <f t="shared" si="0"/>
        <v>1.8184658297019998</v>
      </c>
      <c r="T5">
        <f t="shared" si="1"/>
        <v>1.689002107648</v>
      </c>
      <c r="U5">
        <f t="shared" si="2"/>
        <v>1.7537339686749998</v>
      </c>
      <c r="V5">
        <f t="shared" si="3"/>
        <v>8.7686698433749992</v>
      </c>
    </row>
    <row r="6" spans="2:22" x14ac:dyDescent="0.25">
      <c r="B6">
        <v>0.1837</v>
      </c>
      <c r="C6">
        <v>0.2127</v>
      </c>
      <c r="P6" t="s">
        <v>14</v>
      </c>
      <c r="Q6">
        <v>0.3417</v>
      </c>
      <c r="R6">
        <v>0.30009999999999998</v>
      </c>
      <c r="S6">
        <f t="shared" si="0"/>
        <v>2.625597545862</v>
      </c>
      <c r="T6">
        <f t="shared" si="1"/>
        <v>2.2307724267579996</v>
      </c>
      <c r="U6">
        <f t="shared" si="2"/>
        <v>2.4281849863099998</v>
      </c>
      <c r="V6">
        <f t="shared" si="3"/>
        <v>12.14092493155</v>
      </c>
    </row>
    <row r="7" spans="2:22" x14ac:dyDescent="0.25">
      <c r="B7">
        <v>0.14019999999999999</v>
      </c>
      <c r="C7">
        <v>0.13589999999999999</v>
      </c>
      <c r="P7" t="s">
        <v>15</v>
      </c>
      <c r="Q7">
        <v>0.34549999999999997</v>
      </c>
      <c r="R7">
        <v>0.31319999999999998</v>
      </c>
      <c r="S7">
        <f t="shared" si="0"/>
        <v>2.6628495149499996</v>
      </c>
      <c r="T7">
        <f t="shared" si="1"/>
        <v>2.3525372953920001</v>
      </c>
      <c r="U7">
        <f t="shared" si="2"/>
        <v>2.5076934051709996</v>
      </c>
      <c r="V7">
        <f t="shared" si="3"/>
        <v>12.538467025854999</v>
      </c>
    </row>
    <row r="8" spans="2:22" x14ac:dyDescent="0.25">
      <c r="B8">
        <v>0.1099</v>
      </c>
      <c r="C8">
        <v>0.12640000000000001</v>
      </c>
      <c r="P8" t="s">
        <v>16</v>
      </c>
      <c r="Q8">
        <v>0.34670000000000001</v>
      </c>
      <c r="R8">
        <v>0.30649999999999999</v>
      </c>
      <c r="S8">
        <f t="shared" si="0"/>
        <v>2.6746545494620002</v>
      </c>
      <c r="T8">
        <f t="shared" si="1"/>
        <v>2.28996577255</v>
      </c>
      <c r="U8">
        <f t="shared" si="2"/>
        <v>2.4823101610060001</v>
      </c>
      <c r="V8">
        <f t="shared" si="3"/>
        <v>12.41155080503</v>
      </c>
    </row>
    <row r="9" spans="2:22" x14ac:dyDescent="0.25">
      <c r="B9">
        <v>7.4700000000000003E-2</v>
      </c>
      <c r="C9">
        <v>7.6899999999999996E-2</v>
      </c>
      <c r="P9" t="s">
        <v>17</v>
      </c>
      <c r="Q9">
        <v>0.31730000000000003</v>
      </c>
      <c r="R9">
        <v>0.26140000000000002</v>
      </c>
      <c r="S9">
        <f t="shared" si="0"/>
        <v>2.3911317921820006</v>
      </c>
      <c r="T9">
        <f t="shared" si="1"/>
        <v>1.8848384789680002</v>
      </c>
      <c r="U9">
        <f t="shared" si="2"/>
        <v>2.1379851355750006</v>
      </c>
      <c r="V9">
        <f t="shared" si="3"/>
        <v>10.689925677875003</v>
      </c>
    </row>
    <row r="10" spans="2:22" x14ac:dyDescent="0.25">
      <c r="M10" t="s">
        <v>7</v>
      </c>
      <c r="P10" t="s">
        <v>18</v>
      </c>
      <c r="Q10">
        <v>0.27</v>
      </c>
      <c r="R10">
        <v>0.1961</v>
      </c>
      <c r="S10">
        <f t="shared" si="0"/>
        <v>1.9599328200000001</v>
      </c>
      <c r="T10">
        <f t="shared" si="1"/>
        <v>1.3478257429179998</v>
      </c>
      <c r="U10">
        <f t="shared" si="2"/>
        <v>1.653879281459</v>
      </c>
      <c r="V10">
        <f t="shared" si="3"/>
        <v>8.2693964072949999</v>
      </c>
    </row>
    <row r="11" spans="2:22" x14ac:dyDescent="0.25">
      <c r="P11" t="s">
        <v>19</v>
      </c>
      <c r="Q11">
        <v>0.255</v>
      </c>
      <c r="R11">
        <v>0.20300000000000001</v>
      </c>
      <c r="S11">
        <f t="shared" si="0"/>
        <v>1.8296143949999999</v>
      </c>
      <c r="T11">
        <f t="shared" si="1"/>
        <v>1.4017991422</v>
      </c>
      <c r="U11">
        <f t="shared" si="2"/>
        <v>1.6157067686</v>
      </c>
      <c r="V11">
        <f t="shared" si="3"/>
        <v>8.0785338429999989</v>
      </c>
    </row>
    <row r="12" spans="2:22" x14ac:dyDescent="0.25">
      <c r="D12" t="s">
        <v>0</v>
      </c>
      <c r="E12" t="s">
        <v>0</v>
      </c>
      <c r="F12" t="s">
        <v>2</v>
      </c>
      <c r="G12" t="s">
        <v>3</v>
      </c>
      <c r="H12" t="s">
        <v>1</v>
      </c>
      <c r="L12" t="s">
        <v>8</v>
      </c>
      <c r="M12">
        <v>6.8757999999999999</v>
      </c>
    </row>
    <row r="13" spans="2:22" x14ac:dyDescent="0.25">
      <c r="D13">
        <v>0.44819999999999999</v>
      </c>
      <c r="E13">
        <v>0.57069999999999999</v>
      </c>
      <c r="F13">
        <f>AVERAGE(D13:E13)</f>
        <v>0.50944999999999996</v>
      </c>
      <c r="G13">
        <f>F13-$F$20</f>
        <v>0.43364999999999998</v>
      </c>
      <c r="H13">
        <v>4</v>
      </c>
      <c r="L13" t="s">
        <v>9</v>
      </c>
      <c r="M13">
        <v>5.0781000000000001</v>
      </c>
    </row>
    <row r="14" spans="2:22" x14ac:dyDescent="0.25">
      <c r="D14">
        <v>0.50139999999999996</v>
      </c>
      <c r="E14">
        <v>0.48370000000000002</v>
      </c>
      <c r="F14">
        <f t="shared" ref="F14:F20" si="4">AVERAGE(D14:E14)</f>
        <v>0.49254999999999999</v>
      </c>
      <c r="G14">
        <f t="shared" ref="G14:G20" si="5">F14-$F$20</f>
        <v>0.41674999999999995</v>
      </c>
      <c r="H14">
        <v>3</v>
      </c>
      <c r="L14" t="s">
        <v>10</v>
      </c>
      <c r="M14">
        <v>8.7599999999999997E-2</v>
      </c>
    </row>
    <row r="15" spans="2:22" x14ac:dyDescent="0.25">
      <c r="D15">
        <v>0.36699999999999999</v>
      </c>
      <c r="E15">
        <v>0.37019999999999997</v>
      </c>
      <c r="F15">
        <f t="shared" si="4"/>
        <v>0.36859999999999998</v>
      </c>
      <c r="G15">
        <f t="shared" si="5"/>
        <v>0.29279999999999995</v>
      </c>
      <c r="H15">
        <v>2</v>
      </c>
    </row>
    <row r="16" spans="2:22" x14ac:dyDescent="0.25">
      <c r="D16">
        <v>0.28989999999999999</v>
      </c>
      <c r="E16">
        <v>0.28239999999999998</v>
      </c>
      <c r="F16">
        <f t="shared" si="4"/>
        <v>0.28615000000000002</v>
      </c>
      <c r="G16">
        <f t="shared" si="5"/>
        <v>0.21035000000000001</v>
      </c>
      <c r="H16">
        <v>1.6</v>
      </c>
    </row>
    <row r="17" spans="4:8" x14ac:dyDescent="0.25">
      <c r="D17">
        <v>0.1837</v>
      </c>
      <c r="E17">
        <v>0.2127</v>
      </c>
      <c r="F17">
        <f t="shared" si="4"/>
        <v>0.19819999999999999</v>
      </c>
      <c r="G17">
        <f t="shared" si="5"/>
        <v>0.12239999999999998</v>
      </c>
      <c r="H17">
        <v>0.8</v>
      </c>
    </row>
    <row r="18" spans="4:8" x14ac:dyDescent="0.25">
      <c r="D18">
        <v>0.14019999999999999</v>
      </c>
      <c r="E18">
        <v>0.13589999999999999</v>
      </c>
      <c r="F18">
        <f t="shared" si="4"/>
        <v>0.13805000000000001</v>
      </c>
      <c r="G18">
        <f t="shared" si="5"/>
        <v>6.225E-2</v>
      </c>
      <c r="H18">
        <v>0.4</v>
      </c>
    </row>
    <row r="19" spans="4:8" x14ac:dyDescent="0.25">
      <c r="D19">
        <v>0.1099</v>
      </c>
      <c r="E19">
        <v>0.12640000000000001</v>
      </c>
      <c r="F19">
        <f t="shared" si="4"/>
        <v>0.11815000000000001</v>
      </c>
      <c r="G19">
        <f t="shared" si="5"/>
        <v>4.2349999999999999E-2</v>
      </c>
      <c r="H19">
        <v>0.2</v>
      </c>
    </row>
    <row r="20" spans="4:8" x14ac:dyDescent="0.25">
      <c r="D20">
        <v>7.4700000000000003E-2</v>
      </c>
      <c r="E20">
        <v>7.6899999999999996E-2</v>
      </c>
      <c r="F20">
        <f t="shared" si="4"/>
        <v>7.5800000000000006E-2</v>
      </c>
      <c r="G20">
        <f t="shared" si="5"/>
        <v>0</v>
      </c>
      <c r="H2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Westcott</dc:creator>
  <cp:lastModifiedBy>Felix Westcott</cp:lastModifiedBy>
  <dcterms:created xsi:type="dcterms:W3CDTF">2021-12-01T12:53:40Z</dcterms:created>
  <dcterms:modified xsi:type="dcterms:W3CDTF">2021-12-08T13:35:33Z</dcterms:modified>
</cp:coreProperties>
</file>