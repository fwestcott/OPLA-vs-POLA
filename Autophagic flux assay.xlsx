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spet4768_ox_ac_uk/Documents/Desktop/Results/OPLA-vs-POLA/"/>
    </mc:Choice>
  </mc:AlternateContent>
  <xr:revisionPtr revIDLastSave="368" documentId="11_F25DC773A252ABDACC1048A9519B73345BDE58ED" xr6:coauthVersionLast="47" xr6:coauthVersionMax="47" xr10:uidLastSave="{46A3DDFF-B0C0-479D-A3F8-12BE8C22EA57}"/>
  <bookViews>
    <workbookView xWindow="-120" yWindow="-120" windowWidth="29040" windowHeight="15840" activeTab="3" xr2:uid="{00000000-000D-0000-FFFF-FFFF00000000}"/>
  </bookViews>
  <sheets>
    <sheet name="Raw data" sheetId="1" r:id="rId1"/>
    <sheet name="Autophagic flux" sheetId="2" r:id="rId2"/>
    <sheet name="For R" sheetId="3" r:id="rId3"/>
    <sheet name="For R 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3" i="2" l="1"/>
  <c r="L7" i="2" s="1"/>
  <c r="J9" i="2"/>
  <c r="J2" i="2"/>
  <c r="K2" i="2"/>
  <c r="J3" i="2"/>
  <c r="K3" i="2"/>
  <c r="J4" i="2"/>
  <c r="K4" i="2"/>
  <c r="J5" i="2"/>
  <c r="K5" i="2"/>
  <c r="J6" i="2"/>
  <c r="K6" i="2"/>
  <c r="J7" i="2"/>
  <c r="K7" i="2"/>
  <c r="J8" i="2"/>
  <c r="K8" i="2"/>
  <c r="K9" i="2"/>
  <c r="J10" i="2"/>
  <c r="K10" i="2"/>
  <c r="F2" i="2"/>
  <c r="F3" i="2"/>
  <c r="F4" i="2"/>
  <c r="F5" i="2"/>
  <c r="F6" i="2"/>
  <c r="F7" i="2"/>
  <c r="F8" i="2"/>
  <c r="F9" i="2"/>
  <c r="F10" i="2"/>
  <c r="F11" i="2"/>
  <c r="F14" i="2"/>
  <c r="F15" i="2"/>
  <c r="F17" i="2"/>
  <c r="L9" i="2" s="1"/>
  <c r="F18" i="2"/>
  <c r="L10" i="2" s="1"/>
  <c r="I12" i="1"/>
  <c r="I11" i="1"/>
  <c r="I10" i="1"/>
  <c r="I9" i="1"/>
  <c r="I8" i="1"/>
  <c r="I7" i="1"/>
  <c r="I6" i="1"/>
  <c r="I5" i="1"/>
  <c r="I4" i="1"/>
  <c r="I3" i="1"/>
  <c r="I2" i="1"/>
  <c r="I25" i="1"/>
  <c r="I24" i="1"/>
  <c r="I23" i="1"/>
  <c r="I22" i="1"/>
  <c r="I21" i="1"/>
  <c r="I20" i="1"/>
  <c r="I19" i="1"/>
  <c r="I18" i="1"/>
  <c r="I17" i="1"/>
  <c r="I16" i="1"/>
  <c r="I15" i="1"/>
  <c r="I14" i="1"/>
  <c r="I26" i="1"/>
  <c r="I27" i="1"/>
  <c r="I28" i="1"/>
  <c r="I29" i="1"/>
  <c r="I30" i="1"/>
  <c r="I31" i="1"/>
  <c r="I32" i="1"/>
  <c r="I33" i="1"/>
  <c r="I34" i="1"/>
  <c r="I35" i="1"/>
  <c r="I36" i="1"/>
  <c r="I37" i="1"/>
  <c r="I13" i="1"/>
  <c r="H12" i="1"/>
  <c r="H11" i="1"/>
  <c r="H10" i="1"/>
  <c r="H9" i="1"/>
  <c r="H8" i="1"/>
  <c r="H7" i="1"/>
  <c r="H6" i="1"/>
  <c r="H5" i="1"/>
  <c r="H4" i="1"/>
  <c r="H3" i="1"/>
  <c r="H2" i="1"/>
  <c r="H25" i="1"/>
  <c r="H24" i="1"/>
  <c r="H23" i="1"/>
  <c r="H22" i="1"/>
  <c r="H21" i="1"/>
  <c r="H20" i="1"/>
  <c r="H19" i="1"/>
  <c r="H18" i="1"/>
  <c r="H17" i="1"/>
  <c r="H16" i="1"/>
  <c r="H15" i="1"/>
  <c r="H14" i="1"/>
  <c r="H26" i="1"/>
  <c r="H27" i="1"/>
  <c r="H28" i="1"/>
  <c r="H29" i="1"/>
  <c r="H30" i="1"/>
  <c r="H31" i="1"/>
  <c r="H32" i="1"/>
  <c r="H33" i="1"/>
  <c r="H34" i="1"/>
  <c r="H35" i="1"/>
  <c r="H36" i="1"/>
  <c r="H37" i="1"/>
  <c r="H13" i="1"/>
  <c r="L6" i="2" l="1"/>
  <c r="L5" i="2"/>
  <c r="L8" i="2"/>
  <c r="L4" i="2"/>
  <c r="L2" i="2"/>
  <c r="L3" i="2"/>
</calcChain>
</file>

<file path=xl/sharedStrings.xml><?xml version="1.0" encoding="utf-8"?>
<sst xmlns="http://schemas.openxmlformats.org/spreadsheetml/2006/main" count="191" uniqueCount="40">
  <si>
    <t>Gel Number</t>
  </si>
  <si>
    <t>Lane Number</t>
  </si>
  <si>
    <t>BAF</t>
  </si>
  <si>
    <t>Condition</t>
  </si>
  <si>
    <t>-</t>
  </si>
  <si>
    <t>C1</t>
  </si>
  <si>
    <t>C2</t>
  </si>
  <si>
    <t>+</t>
  </si>
  <si>
    <t>O1</t>
  </si>
  <si>
    <t>O2</t>
  </si>
  <si>
    <t>P1</t>
  </si>
  <si>
    <t>P2</t>
  </si>
  <si>
    <t>C3</t>
  </si>
  <si>
    <t>C4</t>
  </si>
  <si>
    <t>O3</t>
  </si>
  <si>
    <t>O4</t>
  </si>
  <si>
    <t>P3</t>
  </si>
  <si>
    <t>P4</t>
  </si>
  <si>
    <t>C5</t>
  </si>
  <si>
    <t>C6</t>
  </si>
  <si>
    <t>O5</t>
  </si>
  <si>
    <t>O6</t>
  </si>
  <si>
    <t>P5</t>
  </si>
  <si>
    <t>P6</t>
  </si>
  <si>
    <t>Alpha Tubulin Intensity</t>
  </si>
  <si>
    <t>LC3-I Intensity</t>
  </si>
  <si>
    <t>Uncorrected LC3-I Intensity</t>
  </si>
  <si>
    <t>Uncorrected LC3-II Intensity</t>
  </si>
  <si>
    <t>LC3_II Intensity</t>
  </si>
  <si>
    <t>Round</t>
  </si>
  <si>
    <t>Inhibited LC3-II Intensity</t>
  </si>
  <si>
    <t>Basal LC3-II Intensity</t>
  </si>
  <si>
    <t>Autophagic flux</t>
  </si>
  <si>
    <t>ID</t>
  </si>
  <si>
    <t>Control</t>
  </si>
  <si>
    <t>OPLA</t>
  </si>
  <si>
    <t>POLA</t>
  </si>
  <si>
    <t>800uM OPLA</t>
  </si>
  <si>
    <t>800uM POLA</t>
  </si>
  <si>
    <t>LC3-II 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</si>
</sst>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21CCA6-B728-489C-972E-452D56A07E99}" name="Table1" displayName="Table1" ref="A1:I37" totalsRowShown="0">
  <autoFilter ref="A1:I37" xr:uid="{9721CCA6-B728-489C-972E-452D56A07E99}"/>
  <sortState xmlns:xlrd2="http://schemas.microsoft.com/office/spreadsheetml/2017/richdata2" ref="A2:I37">
    <sortCondition ref="A1:A37"/>
  </sortState>
  <tableColumns count="9">
    <tableColumn id="1" xr3:uid="{974674B1-A679-4E6A-87A6-DDCF992E5870}" name="Gel Number"/>
    <tableColumn id="2" xr3:uid="{A336B2E7-4709-45F9-99D3-40F550595C99}" name="Lane Number"/>
    <tableColumn id="3" xr3:uid="{76CEA40D-B395-4289-A7F2-9288AE6A81CF}" name="BAF"/>
    <tableColumn id="4" xr3:uid="{BAC839CB-AA66-414A-92A1-C901094D808B}" name="Condition"/>
    <tableColumn id="5" xr3:uid="{1521EB7D-F781-40C8-A24C-802E30206D3E}" name="Alpha Tubulin Intensity"/>
    <tableColumn id="6" xr3:uid="{425137FA-9A98-45DA-9207-ED00296448BF}" name="Uncorrected LC3-I Intensity"/>
    <tableColumn id="7" xr3:uid="{3C972565-B4CB-410C-9993-65BDDD31C519}" name="Uncorrected LC3-II Intensity"/>
    <tableColumn id="8" xr3:uid="{95A32B37-913B-4564-A8A4-40533FF1B6B1}" name="LC3-I Intensity">
      <calculatedColumnFormula>Table1[[#This Row],[Uncorrected LC3-I Intensity]]/Table1[[#This Row],[Alpha Tubulin Intensity]]</calculatedColumnFormula>
    </tableColumn>
    <tableColumn id="9" xr3:uid="{783BC320-C397-4421-A5D4-F19DF501CF6B}" name="LC3_II Intensity">
      <calculatedColumnFormula>Table1[[#This Row],[Uncorrected LC3-II Intensity]]/Table1[[#This Row],[Alpha Tubulin Intensity]]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B6981B1-C653-47F8-8B0F-A56A05F39278}" name="Table13" displayName="Table13" ref="A1:F19" totalsRowShown="0">
  <autoFilter ref="A1:F19" xr:uid="{9721CCA6-B728-489C-972E-452D56A07E99}"/>
  <tableColumns count="6">
    <tableColumn id="1" xr3:uid="{BCD2E94D-770A-420A-AAD5-C5D7D97F90D7}" name="Round"/>
    <tableColumn id="4" xr3:uid="{732F4A24-C018-4AEC-89A3-94A854B118ED}" name="ID"/>
    <tableColumn id="2" xr3:uid="{7DE6155F-5DDD-4AFB-95DC-F143E06043FE}" name="Condition"/>
    <tableColumn id="19" xr3:uid="{41960CD4-AD69-4756-B8BC-C4EB3342ACFB}" name="Basal LC3-II Intensity"/>
    <tableColumn id="20" xr3:uid="{1AFB8F1F-7C59-4A5F-BDB7-5CBA2AB649BA}" name="Inhibited LC3-II Intensity"/>
    <tableColumn id="21" xr3:uid="{1A1C3EFA-96F1-4CF0-909E-B088CFB9767F}" name="Autophagic flux">
      <calculatedColumnFormula xml:space="preserve"> (Table13[[#This Row],[Inhibited LC3-II Intensity]]-Table13[[#This Row],[Basal LC3-II Intensity]])/Table13[[#This Row],[Basal LC3-II Intensity]]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workbookViewId="0">
      <selection activeCell="B1" sqref="B1"/>
    </sheetView>
  </sheetViews>
  <sheetFormatPr defaultRowHeight="15" x14ac:dyDescent="0.25"/>
  <cols>
    <col min="1" max="1" width="18" customWidth="1"/>
    <col min="2" max="2" width="17.42578125" customWidth="1"/>
    <col min="4" max="4" width="14.7109375" customWidth="1"/>
    <col min="5" max="5" width="23.7109375" customWidth="1"/>
    <col min="6" max="6" width="29.28515625" customWidth="1"/>
    <col min="7" max="7" width="27.7109375" customWidth="1"/>
    <col min="8" max="8" width="16.42578125" customWidth="1"/>
    <col min="9" max="9" width="17.140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24</v>
      </c>
      <c r="F1" t="s">
        <v>26</v>
      </c>
      <c r="G1" t="s">
        <v>27</v>
      </c>
      <c r="H1" t="s">
        <v>25</v>
      </c>
      <c r="I1" t="s">
        <v>28</v>
      </c>
    </row>
    <row r="2" spans="1:9" x14ac:dyDescent="0.25">
      <c r="A2">
        <v>1</v>
      </c>
      <c r="B2">
        <v>2</v>
      </c>
      <c r="C2" t="s">
        <v>4</v>
      </c>
      <c r="D2" t="s">
        <v>5</v>
      </c>
      <c r="E2" s="1">
        <v>863247</v>
      </c>
      <c r="F2" s="1">
        <v>2054208</v>
      </c>
      <c r="G2" s="1">
        <v>196008</v>
      </c>
      <c r="H2">
        <f>Table1[[#This Row],[Uncorrected LC3-I Intensity]]/Table1[[#This Row],[Alpha Tubulin Intensity]]</f>
        <v>2.3796294687383797</v>
      </c>
      <c r="I2">
        <f>Table1[[#This Row],[Uncorrected LC3-II Intensity]]/Table1[[#This Row],[Alpha Tubulin Intensity]]</f>
        <v>0.22705899933622706</v>
      </c>
    </row>
    <row r="3" spans="1:9" x14ac:dyDescent="0.25">
      <c r="A3">
        <v>1</v>
      </c>
      <c r="B3">
        <v>3</v>
      </c>
      <c r="C3" t="s">
        <v>4</v>
      </c>
      <c r="D3" t="s">
        <v>6</v>
      </c>
      <c r="E3" s="1">
        <v>940821</v>
      </c>
      <c r="F3" s="1">
        <v>3344770</v>
      </c>
      <c r="G3" s="1">
        <v>307692</v>
      </c>
      <c r="H3">
        <f>Table1[[#This Row],[Uncorrected LC3-I Intensity]]/Table1[[#This Row],[Alpha Tubulin Intensity]]</f>
        <v>3.5551608648191313</v>
      </c>
      <c r="I3">
        <f>Table1[[#This Row],[Uncorrected LC3-II Intensity]]/Table1[[#This Row],[Alpha Tubulin Intensity]]</f>
        <v>0.32704627128858732</v>
      </c>
    </row>
    <row r="4" spans="1:9" x14ac:dyDescent="0.25">
      <c r="A4">
        <v>1</v>
      </c>
      <c r="B4">
        <v>4</v>
      </c>
      <c r="C4" t="s">
        <v>7</v>
      </c>
      <c r="D4" t="s">
        <v>5</v>
      </c>
      <c r="E4" s="1">
        <v>1207962</v>
      </c>
      <c r="F4" s="1">
        <v>2455970</v>
      </c>
      <c r="G4" s="1">
        <v>908666</v>
      </c>
      <c r="H4">
        <f>Table1[[#This Row],[Uncorrected LC3-I Intensity]]/Table1[[#This Row],[Alpha Tubulin Intensity]]</f>
        <v>2.0331517051033061</v>
      </c>
      <c r="I4">
        <f>Table1[[#This Row],[Uncorrected LC3-II Intensity]]/Table1[[#This Row],[Alpha Tubulin Intensity]]</f>
        <v>0.75223061652601653</v>
      </c>
    </row>
    <row r="5" spans="1:9" x14ac:dyDescent="0.25">
      <c r="A5">
        <v>1</v>
      </c>
      <c r="B5">
        <v>5</v>
      </c>
      <c r="C5" t="s">
        <v>7</v>
      </c>
      <c r="D5" t="s">
        <v>6</v>
      </c>
      <c r="E5" s="1">
        <v>1922193</v>
      </c>
      <c r="F5" s="1">
        <v>2750850</v>
      </c>
      <c r="G5" s="1">
        <v>1388225</v>
      </c>
      <c r="H5">
        <f>Table1[[#This Row],[Uncorrected LC3-I Intensity]]/Table1[[#This Row],[Alpha Tubulin Intensity]]</f>
        <v>1.4310997907078009</v>
      </c>
      <c r="I5">
        <f>Table1[[#This Row],[Uncorrected LC3-II Intensity]]/Table1[[#This Row],[Alpha Tubulin Intensity]]</f>
        <v>0.72220895612459313</v>
      </c>
    </row>
    <row r="6" spans="1:9" x14ac:dyDescent="0.25">
      <c r="A6">
        <v>1</v>
      </c>
      <c r="B6">
        <v>6</v>
      </c>
      <c r="C6" t="s">
        <v>4</v>
      </c>
      <c r="D6" t="s">
        <v>8</v>
      </c>
      <c r="E6" s="1">
        <v>2781366</v>
      </c>
      <c r="F6" s="1">
        <v>2072510</v>
      </c>
      <c r="G6" s="1">
        <v>273658</v>
      </c>
      <c r="H6">
        <f>Table1[[#This Row],[Uncorrected LC3-I Intensity]]/Table1[[#This Row],[Alpha Tubulin Intensity]]</f>
        <v>0.74514105658874097</v>
      </c>
      <c r="I6">
        <f>Table1[[#This Row],[Uncorrected LC3-II Intensity]]/Table1[[#This Row],[Alpha Tubulin Intensity]]</f>
        <v>9.8389784012603884E-2</v>
      </c>
    </row>
    <row r="7" spans="1:9" x14ac:dyDescent="0.25">
      <c r="A7">
        <v>1</v>
      </c>
      <c r="B7">
        <v>7</v>
      </c>
      <c r="C7" t="s">
        <v>4</v>
      </c>
      <c r="D7" t="s">
        <v>9</v>
      </c>
      <c r="E7" s="1">
        <v>3360819</v>
      </c>
      <c r="F7" s="1">
        <v>3043776</v>
      </c>
      <c r="G7" s="1">
        <v>579408</v>
      </c>
      <c r="H7">
        <f>Table1[[#This Row],[Uncorrected LC3-I Intensity]]/Table1[[#This Row],[Alpha Tubulin Intensity]]</f>
        <v>0.90566495845209161</v>
      </c>
      <c r="I7">
        <f>Table1[[#This Row],[Uncorrected LC3-II Intensity]]/Table1[[#This Row],[Alpha Tubulin Intensity]]</f>
        <v>0.17240083443946252</v>
      </c>
    </row>
    <row r="8" spans="1:9" x14ac:dyDescent="0.25">
      <c r="A8">
        <v>1</v>
      </c>
      <c r="B8">
        <v>8</v>
      </c>
      <c r="C8" t="s">
        <v>7</v>
      </c>
      <c r="D8" t="s">
        <v>8</v>
      </c>
      <c r="E8" s="1">
        <v>3317391</v>
      </c>
      <c r="F8" s="1">
        <v>2532650</v>
      </c>
      <c r="G8" s="1">
        <v>1481750</v>
      </c>
      <c r="H8">
        <f>Table1[[#This Row],[Uncorrected LC3-I Intensity]]/Table1[[#This Row],[Alpha Tubulin Intensity]]</f>
        <v>0.76344633478537804</v>
      </c>
      <c r="I8">
        <f>Table1[[#This Row],[Uncorrected LC3-II Intensity]]/Table1[[#This Row],[Alpha Tubulin Intensity]]</f>
        <v>0.4466612467448064</v>
      </c>
    </row>
    <row r="9" spans="1:9" x14ac:dyDescent="0.25">
      <c r="A9">
        <v>1</v>
      </c>
      <c r="B9">
        <v>9</v>
      </c>
      <c r="C9" t="s">
        <v>7</v>
      </c>
      <c r="D9" t="s">
        <v>9</v>
      </c>
      <c r="E9" s="1">
        <v>2901360</v>
      </c>
      <c r="F9" s="1">
        <v>2754752</v>
      </c>
      <c r="G9" s="1">
        <v>1619024</v>
      </c>
      <c r="H9">
        <f>Table1[[#This Row],[Uncorrected LC3-I Intensity]]/Table1[[#This Row],[Alpha Tubulin Intensity]]</f>
        <v>0.94946921443736731</v>
      </c>
      <c r="I9">
        <f>Table1[[#This Row],[Uncorrected LC3-II Intensity]]/Table1[[#This Row],[Alpha Tubulin Intensity]]</f>
        <v>0.55802244464664852</v>
      </c>
    </row>
    <row r="10" spans="1:9" x14ac:dyDescent="0.25">
      <c r="A10">
        <v>1</v>
      </c>
      <c r="B10">
        <v>10</v>
      </c>
      <c r="C10" t="s">
        <v>4</v>
      </c>
      <c r="D10" t="s">
        <v>10</v>
      </c>
      <c r="E10" s="1">
        <v>1178919</v>
      </c>
      <c r="F10" s="1">
        <v>1531684</v>
      </c>
      <c r="G10" s="1">
        <v>317196</v>
      </c>
      <c r="H10">
        <f>Table1[[#This Row],[Uncorrected LC3-I Intensity]]/Table1[[#This Row],[Alpha Tubulin Intensity]]</f>
        <v>1.2992275126620234</v>
      </c>
      <c r="I10">
        <f>Table1[[#This Row],[Uncorrected LC3-II Intensity]]/Table1[[#This Row],[Alpha Tubulin Intensity]]</f>
        <v>0.26905665274713531</v>
      </c>
    </row>
    <row r="11" spans="1:9" x14ac:dyDescent="0.25">
      <c r="A11">
        <v>1</v>
      </c>
      <c r="B11">
        <v>11</v>
      </c>
      <c r="C11" t="s">
        <v>4</v>
      </c>
      <c r="D11" t="s">
        <v>11</v>
      </c>
      <c r="E11" s="1">
        <v>1736616</v>
      </c>
      <c r="F11" s="1">
        <v>1913472</v>
      </c>
      <c r="G11" s="1">
        <v>184206</v>
      </c>
      <c r="H11">
        <f>Table1[[#This Row],[Uncorrected LC3-I Intensity]]/Table1[[#This Row],[Alpha Tubulin Intensity]]</f>
        <v>1.1018394394615736</v>
      </c>
      <c r="I11">
        <f>Table1[[#This Row],[Uncorrected LC3-II Intensity]]/Table1[[#This Row],[Alpha Tubulin Intensity]]</f>
        <v>0.10607180862090411</v>
      </c>
    </row>
    <row r="12" spans="1:9" x14ac:dyDescent="0.25">
      <c r="A12">
        <v>1</v>
      </c>
      <c r="B12">
        <v>12</v>
      </c>
      <c r="C12" t="s">
        <v>7</v>
      </c>
      <c r="D12" t="s">
        <v>10</v>
      </c>
      <c r="E12" s="1">
        <v>1111530</v>
      </c>
      <c r="F12" s="1">
        <v>955152</v>
      </c>
      <c r="G12" s="1">
        <v>468952</v>
      </c>
      <c r="H12">
        <f>Table1[[#This Row],[Uncorrected LC3-I Intensity]]/Table1[[#This Row],[Alpha Tubulin Intensity]]</f>
        <v>0.85931283905967448</v>
      </c>
      <c r="I12">
        <f>Table1[[#This Row],[Uncorrected LC3-II Intensity]]/Table1[[#This Row],[Alpha Tubulin Intensity]]</f>
        <v>0.42189774455030454</v>
      </c>
    </row>
    <row r="13" spans="1:9" x14ac:dyDescent="0.25">
      <c r="A13">
        <v>1</v>
      </c>
      <c r="B13">
        <v>13</v>
      </c>
      <c r="C13" t="s">
        <v>7</v>
      </c>
      <c r="D13" t="s">
        <v>11</v>
      </c>
      <c r="E13" s="1">
        <v>793275</v>
      </c>
      <c r="F13" s="1">
        <v>676016</v>
      </c>
      <c r="G13" s="1">
        <v>574684</v>
      </c>
      <c r="H13">
        <f>Table1[[#This Row],[Uncorrected LC3-I Intensity]]/Table1[[#This Row],[Alpha Tubulin Intensity]]</f>
        <v>0.85218366896725595</v>
      </c>
      <c r="I13">
        <f>Table1[[#This Row],[Uncorrected LC3-II Intensity]]/Table1[[#This Row],[Alpha Tubulin Intensity]]</f>
        <v>0.72444486464340863</v>
      </c>
    </row>
    <row r="14" spans="1:9" x14ac:dyDescent="0.25">
      <c r="A14">
        <v>2</v>
      </c>
      <c r="B14">
        <v>2</v>
      </c>
      <c r="C14" t="s">
        <v>4</v>
      </c>
      <c r="D14" t="s">
        <v>12</v>
      </c>
      <c r="E14" s="1">
        <v>1034448</v>
      </c>
      <c r="F14" s="1">
        <v>145684</v>
      </c>
      <c r="G14" s="1">
        <v>61050</v>
      </c>
      <c r="H14">
        <f>Table1[[#This Row],[Uncorrected LC3-I Intensity]]/Table1[[#This Row],[Alpha Tubulin Intensity]]</f>
        <v>0.14083259864198103</v>
      </c>
      <c r="I14">
        <f>Table1[[#This Row],[Uncorrected LC3-II Intensity]]/Table1[[#This Row],[Alpha Tubulin Intensity]]</f>
        <v>5.901698297062781E-2</v>
      </c>
    </row>
    <row r="15" spans="1:9" x14ac:dyDescent="0.25">
      <c r="A15">
        <v>2</v>
      </c>
      <c r="B15">
        <v>3</v>
      </c>
      <c r="C15" t="s">
        <v>4</v>
      </c>
      <c r="D15" t="s">
        <v>13</v>
      </c>
      <c r="E15" s="1">
        <v>1828386</v>
      </c>
      <c r="F15" s="1">
        <v>735284</v>
      </c>
      <c r="G15" s="1">
        <v>109890</v>
      </c>
      <c r="H15">
        <f>Table1[[#This Row],[Uncorrected LC3-I Intensity]]/Table1[[#This Row],[Alpha Tubulin Intensity]]</f>
        <v>0.40214921794413216</v>
      </c>
      <c r="I15">
        <f>Table1[[#This Row],[Uncorrected LC3-II Intensity]]/Table1[[#This Row],[Alpha Tubulin Intensity]]</f>
        <v>6.0102188487551313E-2</v>
      </c>
    </row>
    <row r="16" spans="1:9" x14ac:dyDescent="0.25">
      <c r="A16">
        <v>2</v>
      </c>
      <c r="B16">
        <v>4</v>
      </c>
      <c r="C16" t="s">
        <v>7</v>
      </c>
      <c r="D16" t="s">
        <v>12</v>
      </c>
      <c r="E16" s="1">
        <v>1580229</v>
      </c>
      <c r="F16" s="1">
        <v>712894</v>
      </c>
      <c r="G16" s="1">
        <v>859794</v>
      </c>
      <c r="H16">
        <f>Table1[[#This Row],[Uncorrected LC3-I Intensity]]/Table1[[#This Row],[Alpha Tubulin Intensity]]</f>
        <v>0.45113334839444158</v>
      </c>
      <c r="I16">
        <f>Table1[[#This Row],[Uncorrected LC3-II Intensity]]/Table1[[#This Row],[Alpha Tubulin Intensity]]</f>
        <v>0.54409455844690868</v>
      </c>
    </row>
    <row r="17" spans="1:9" x14ac:dyDescent="0.25">
      <c r="A17">
        <v>2</v>
      </c>
      <c r="B17">
        <v>5</v>
      </c>
      <c r="C17" t="s">
        <v>7</v>
      </c>
      <c r="D17" t="s">
        <v>13</v>
      </c>
      <c r="E17" s="1">
        <v>1139903</v>
      </c>
      <c r="F17" s="1">
        <v>562125</v>
      </c>
      <c r="G17" s="1">
        <v>830650</v>
      </c>
      <c r="H17">
        <f>Table1[[#This Row],[Uncorrected LC3-I Intensity]]/Table1[[#This Row],[Alpha Tubulin Intensity]]</f>
        <v>0.49313406491604989</v>
      </c>
      <c r="I17">
        <f>Table1[[#This Row],[Uncorrected LC3-II Intensity]]/Table1[[#This Row],[Alpha Tubulin Intensity]]</f>
        <v>0.72870235449858456</v>
      </c>
    </row>
    <row r="18" spans="1:9" x14ac:dyDescent="0.25">
      <c r="A18">
        <v>2</v>
      </c>
      <c r="B18">
        <v>6</v>
      </c>
      <c r="C18" t="s">
        <v>4</v>
      </c>
      <c r="D18" t="s">
        <v>14</v>
      </c>
      <c r="E18" s="1">
        <v>1316425</v>
      </c>
      <c r="F18" s="1">
        <v>1133800</v>
      </c>
      <c r="G18" s="1">
        <v>405050</v>
      </c>
      <c r="H18">
        <f>Table1[[#This Row],[Uncorrected LC3-I Intensity]]/Table1[[#This Row],[Alpha Tubulin Intensity]]</f>
        <v>0.86127200562128492</v>
      </c>
      <c r="I18">
        <f>Table1[[#This Row],[Uncorrected LC3-II Intensity]]/Table1[[#This Row],[Alpha Tubulin Intensity]]</f>
        <v>0.30768938602654916</v>
      </c>
    </row>
    <row r="19" spans="1:9" x14ac:dyDescent="0.25">
      <c r="A19">
        <v>2</v>
      </c>
      <c r="B19">
        <v>7</v>
      </c>
      <c r="C19" t="s">
        <v>4</v>
      </c>
      <c r="D19" t="s">
        <v>15</v>
      </c>
      <c r="E19" s="1">
        <v>571608</v>
      </c>
      <c r="F19" s="1">
        <v>609400</v>
      </c>
      <c r="G19" s="1">
        <v>369006</v>
      </c>
      <c r="H19">
        <f>Table1[[#This Row],[Uncorrected LC3-I Intensity]]/Table1[[#This Row],[Alpha Tubulin Intensity]]</f>
        <v>1.0661152398146982</v>
      </c>
      <c r="I19">
        <f>Table1[[#This Row],[Uncorrected LC3-II Intensity]]/Table1[[#This Row],[Alpha Tubulin Intensity]]</f>
        <v>0.64555779485241638</v>
      </c>
    </row>
    <row r="20" spans="1:9" x14ac:dyDescent="0.25">
      <c r="A20">
        <v>2</v>
      </c>
      <c r="B20">
        <v>8</v>
      </c>
      <c r="C20" t="s">
        <v>7</v>
      </c>
      <c r="D20" t="s">
        <v>14</v>
      </c>
      <c r="E20" s="1">
        <v>776475</v>
      </c>
      <c r="F20" s="1">
        <v>812878</v>
      </c>
      <c r="G20" s="1">
        <v>768702</v>
      </c>
      <c r="H20">
        <f>Table1[[#This Row],[Uncorrected LC3-I Intensity]]/Table1[[#This Row],[Alpha Tubulin Intensity]]</f>
        <v>1.0468823851379632</v>
      </c>
      <c r="I20">
        <f>Table1[[#This Row],[Uncorrected LC3-II Intensity]]/Table1[[#This Row],[Alpha Tubulin Intensity]]</f>
        <v>0.98998937506036899</v>
      </c>
    </row>
    <row r="21" spans="1:9" x14ac:dyDescent="0.25">
      <c r="A21">
        <v>2</v>
      </c>
      <c r="B21">
        <v>9</v>
      </c>
      <c r="C21" t="s">
        <v>7</v>
      </c>
      <c r="D21" t="s">
        <v>15</v>
      </c>
      <c r="E21" s="1">
        <v>950400</v>
      </c>
      <c r="F21" s="1">
        <v>1219400</v>
      </c>
      <c r="G21" s="1">
        <v>905866</v>
      </c>
      <c r="H21">
        <f>Table1[[#This Row],[Uncorrected LC3-I Intensity]]/Table1[[#This Row],[Alpha Tubulin Intensity]]</f>
        <v>1.2830387205387206</v>
      </c>
      <c r="I21">
        <f>Table1[[#This Row],[Uncorrected LC3-II Intensity]]/Table1[[#This Row],[Alpha Tubulin Intensity]]</f>
        <v>0.95314183501683503</v>
      </c>
    </row>
    <row r="22" spans="1:9" x14ac:dyDescent="0.25">
      <c r="A22">
        <v>2</v>
      </c>
      <c r="B22">
        <v>10</v>
      </c>
      <c r="C22" t="s">
        <v>4</v>
      </c>
      <c r="D22" t="s">
        <v>16</v>
      </c>
      <c r="E22" s="1">
        <v>865704</v>
      </c>
      <c r="F22" s="1">
        <v>1243506</v>
      </c>
      <c r="G22" s="1">
        <v>508486</v>
      </c>
      <c r="H22">
        <f>Table1[[#This Row],[Uncorrected LC3-I Intensity]]/Table1[[#This Row],[Alpha Tubulin Intensity]]</f>
        <v>1.4364101355659671</v>
      </c>
      <c r="I22">
        <f>Table1[[#This Row],[Uncorrected LC3-II Intensity]]/Table1[[#This Row],[Alpha Tubulin Intensity]]</f>
        <v>0.58736704462495259</v>
      </c>
    </row>
    <row r="23" spans="1:9" x14ac:dyDescent="0.25">
      <c r="A23">
        <v>2</v>
      </c>
      <c r="B23">
        <v>11</v>
      </c>
      <c r="C23" t="s">
        <v>4</v>
      </c>
      <c r="D23" t="s">
        <v>17</v>
      </c>
      <c r="E23" s="1">
        <v>937536</v>
      </c>
      <c r="F23" s="1">
        <v>1379425</v>
      </c>
      <c r="G23" s="1">
        <v>435950</v>
      </c>
      <c r="H23">
        <f>Table1[[#This Row],[Uncorrected LC3-I Intensity]]/Table1[[#This Row],[Alpha Tubulin Intensity]]</f>
        <v>1.4713301675882313</v>
      </c>
      <c r="I23">
        <f>Table1[[#This Row],[Uncorrected LC3-II Intensity]]/Table1[[#This Row],[Alpha Tubulin Intensity]]</f>
        <v>0.46499547750699705</v>
      </c>
    </row>
    <row r="24" spans="1:9" x14ac:dyDescent="0.25">
      <c r="A24">
        <v>2</v>
      </c>
      <c r="B24">
        <v>12</v>
      </c>
      <c r="C24" t="s">
        <v>7</v>
      </c>
      <c r="D24" t="s">
        <v>16</v>
      </c>
      <c r="E24" s="1">
        <v>467268</v>
      </c>
      <c r="F24" s="1">
        <v>788496</v>
      </c>
      <c r="G24" s="1">
        <v>1300512</v>
      </c>
      <c r="H24">
        <f>Table1[[#This Row],[Uncorrected LC3-I Intensity]]/Table1[[#This Row],[Alpha Tubulin Intensity]]</f>
        <v>1.6874598731349033</v>
      </c>
      <c r="I24">
        <f>Table1[[#This Row],[Uncorrected LC3-II Intensity]]/Table1[[#This Row],[Alpha Tubulin Intensity]]</f>
        <v>2.783225044300059</v>
      </c>
    </row>
    <row r="25" spans="1:9" x14ac:dyDescent="0.25">
      <c r="A25">
        <v>2</v>
      </c>
      <c r="B25">
        <v>13</v>
      </c>
      <c r="C25" t="s">
        <v>7</v>
      </c>
      <c r="D25" t="s">
        <v>17</v>
      </c>
      <c r="E25" s="1">
        <v>445322</v>
      </c>
      <c r="F25" s="1">
        <v>647042</v>
      </c>
      <c r="G25" s="1">
        <v>703120</v>
      </c>
      <c r="H25">
        <f>Table1[[#This Row],[Uncorrected LC3-I Intensity]]/Table1[[#This Row],[Alpha Tubulin Intensity]]</f>
        <v>1.452975599678435</v>
      </c>
      <c r="I25">
        <f>Table1[[#This Row],[Uncorrected LC3-II Intensity]]/Table1[[#This Row],[Alpha Tubulin Intensity]]</f>
        <v>1.5789024570984591</v>
      </c>
    </row>
    <row r="26" spans="1:9" x14ac:dyDescent="0.25">
      <c r="A26">
        <v>3</v>
      </c>
      <c r="B26">
        <v>2</v>
      </c>
      <c r="C26" t="s">
        <v>4</v>
      </c>
      <c r="D26" t="s">
        <v>18</v>
      </c>
      <c r="E26" s="1">
        <v>139881</v>
      </c>
      <c r="F26" s="1">
        <v>598290</v>
      </c>
      <c r="G26" s="1">
        <v>120876</v>
      </c>
      <c r="H26">
        <f>Table1[[#This Row],[Uncorrected LC3-I Intensity]]/Table1[[#This Row],[Alpha Tubulin Intensity]]</f>
        <v>4.2771355652304459</v>
      </c>
      <c r="I26">
        <f>Table1[[#This Row],[Uncorrected LC3-II Intensity]]/Table1[[#This Row],[Alpha Tubulin Intensity]]</f>
        <v>0.86413451433718658</v>
      </c>
    </row>
    <row r="27" spans="1:9" x14ac:dyDescent="0.25">
      <c r="A27">
        <v>3</v>
      </c>
      <c r="B27">
        <v>3</v>
      </c>
      <c r="C27" t="s">
        <v>4</v>
      </c>
      <c r="D27" t="s">
        <v>19</v>
      </c>
      <c r="E27" s="1">
        <v>1143429</v>
      </c>
      <c r="F27" s="1">
        <v>924876</v>
      </c>
      <c r="G27" s="1">
        <v>536521</v>
      </c>
      <c r="H27">
        <f>Table1[[#This Row],[Uncorrected LC3-I Intensity]]/Table1[[#This Row],[Alpha Tubulin Intensity]]</f>
        <v>0.80886176579394087</v>
      </c>
      <c r="I27">
        <f>Table1[[#This Row],[Uncorrected LC3-II Intensity]]/Table1[[#This Row],[Alpha Tubulin Intensity]]</f>
        <v>0.46922108849784289</v>
      </c>
    </row>
    <row r="28" spans="1:9" x14ac:dyDescent="0.25">
      <c r="A28">
        <v>3</v>
      </c>
      <c r="B28">
        <v>4</v>
      </c>
      <c r="C28" t="s">
        <v>7</v>
      </c>
      <c r="D28" t="s">
        <v>18</v>
      </c>
      <c r="E28" s="1">
        <v>959490</v>
      </c>
      <c r="F28" s="1">
        <v>856267</v>
      </c>
      <c r="G28" s="1">
        <v>1530673</v>
      </c>
      <c r="H28">
        <f>Table1[[#This Row],[Uncorrected LC3-I Intensity]]/Table1[[#This Row],[Alpha Tubulin Intensity]]</f>
        <v>0.89241888920155499</v>
      </c>
      <c r="I28">
        <f>Table1[[#This Row],[Uncorrected LC3-II Intensity]]/Table1[[#This Row],[Alpha Tubulin Intensity]]</f>
        <v>1.5952985440181764</v>
      </c>
    </row>
    <row r="29" spans="1:9" x14ac:dyDescent="0.25">
      <c r="A29">
        <v>3</v>
      </c>
      <c r="B29">
        <v>5</v>
      </c>
      <c r="C29" t="s">
        <v>7</v>
      </c>
      <c r="D29" t="s">
        <v>19</v>
      </c>
      <c r="E29" s="1">
        <v>1087152</v>
      </c>
      <c r="F29" s="1">
        <v>844422</v>
      </c>
      <c r="G29" s="1">
        <v>1255547</v>
      </c>
      <c r="H29">
        <f>Table1[[#This Row],[Uncorrected LC3-I Intensity]]/Table1[[#This Row],[Alpha Tubulin Intensity]]</f>
        <v>0.77672855313700384</v>
      </c>
      <c r="I29">
        <f>Table1[[#This Row],[Uncorrected LC3-II Intensity]]/Table1[[#This Row],[Alpha Tubulin Intensity]]</f>
        <v>1.1548955435854416</v>
      </c>
    </row>
    <row r="30" spans="1:9" x14ac:dyDescent="0.25">
      <c r="A30">
        <v>3</v>
      </c>
      <c r="B30">
        <v>6</v>
      </c>
      <c r="C30" t="s">
        <v>4</v>
      </c>
      <c r="D30" t="s">
        <v>20</v>
      </c>
      <c r="E30" s="1">
        <v>996600</v>
      </c>
      <c r="F30" s="1">
        <v>1129050</v>
      </c>
      <c r="G30" s="1">
        <v>734900</v>
      </c>
      <c r="H30">
        <f>Table1[[#This Row],[Uncorrected LC3-I Intensity]]/Table1[[#This Row],[Alpha Tubulin Intensity]]</f>
        <v>1.132901866345575</v>
      </c>
      <c r="I30">
        <f>Table1[[#This Row],[Uncorrected LC3-II Intensity]]/Table1[[#This Row],[Alpha Tubulin Intensity]]</f>
        <v>0.737407184427052</v>
      </c>
    </row>
    <row r="31" spans="1:9" x14ac:dyDescent="0.25">
      <c r="A31">
        <v>3</v>
      </c>
      <c r="B31">
        <v>7</v>
      </c>
      <c r="C31" t="s">
        <v>4</v>
      </c>
      <c r="D31" t="s">
        <v>21</v>
      </c>
      <c r="E31" s="1">
        <v>1279927</v>
      </c>
      <c r="F31" s="1">
        <v>1119573</v>
      </c>
      <c r="G31" s="1">
        <v>668388</v>
      </c>
      <c r="H31">
        <f>Table1[[#This Row],[Uncorrected LC3-I Intensity]]/Table1[[#This Row],[Alpha Tubulin Intensity]]</f>
        <v>0.87471629241355175</v>
      </c>
      <c r="I31">
        <f>Table1[[#This Row],[Uncorrected LC3-II Intensity]]/Table1[[#This Row],[Alpha Tubulin Intensity]]</f>
        <v>0.52220790716970578</v>
      </c>
    </row>
    <row r="32" spans="1:9" x14ac:dyDescent="0.25">
      <c r="A32">
        <v>3</v>
      </c>
      <c r="B32">
        <v>8</v>
      </c>
      <c r="C32" t="s">
        <v>7</v>
      </c>
      <c r="D32" t="s">
        <v>20</v>
      </c>
      <c r="E32" s="1">
        <v>1228800</v>
      </c>
      <c r="F32" s="1">
        <v>993508</v>
      </c>
      <c r="G32" s="1">
        <v>690414</v>
      </c>
      <c r="H32">
        <f>Table1[[#This Row],[Uncorrected LC3-I Intensity]]/Table1[[#This Row],[Alpha Tubulin Intensity]]</f>
        <v>0.80851888020833329</v>
      </c>
      <c r="I32">
        <f>Table1[[#This Row],[Uncorrected LC3-II Intensity]]/Table1[[#This Row],[Alpha Tubulin Intensity]]</f>
        <v>0.56186035156250003</v>
      </c>
    </row>
    <row r="33" spans="1:9" x14ac:dyDescent="0.25">
      <c r="A33">
        <v>3</v>
      </c>
      <c r="B33">
        <v>9</v>
      </c>
      <c r="C33" t="s">
        <v>7</v>
      </c>
      <c r="D33" t="s">
        <v>21</v>
      </c>
      <c r="E33" s="1">
        <v>1144206</v>
      </c>
      <c r="F33" s="1">
        <v>1107048</v>
      </c>
      <c r="G33" s="1">
        <v>622392</v>
      </c>
      <c r="H33">
        <f>Table1[[#This Row],[Uncorrected LC3-I Intensity]]/Table1[[#This Row],[Alpha Tubulin Intensity]]</f>
        <v>0.96752507852606962</v>
      </c>
      <c r="I33">
        <f>Table1[[#This Row],[Uncorrected LC3-II Intensity]]/Table1[[#This Row],[Alpha Tubulin Intensity]]</f>
        <v>0.54395100183009004</v>
      </c>
    </row>
    <row r="34" spans="1:9" x14ac:dyDescent="0.25">
      <c r="A34">
        <v>3</v>
      </c>
      <c r="B34">
        <v>10</v>
      </c>
      <c r="C34" t="s">
        <v>4</v>
      </c>
      <c r="D34" t="s">
        <v>22</v>
      </c>
      <c r="E34" s="1">
        <v>1174446</v>
      </c>
      <c r="F34" s="1">
        <v>817894</v>
      </c>
      <c r="G34" s="1">
        <v>652300</v>
      </c>
      <c r="H34">
        <f>Table1[[#This Row],[Uncorrected LC3-I Intensity]]/Table1[[#This Row],[Alpha Tubulin Intensity]]</f>
        <v>0.69640834912801441</v>
      </c>
      <c r="I34">
        <f>Table1[[#This Row],[Uncorrected LC3-II Intensity]]/Table1[[#This Row],[Alpha Tubulin Intensity]]</f>
        <v>0.55541080645683161</v>
      </c>
    </row>
    <row r="35" spans="1:9" x14ac:dyDescent="0.25">
      <c r="A35">
        <v>3</v>
      </c>
      <c r="B35">
        <v>11</v>
      </c>
      <c r="C35" t="s">
        <v>4</v>
      </c>
      <c r="D35" t="s">
        <v>23</v>
      </c>
      <c r="E35" s="1">
        <v>1066485</v>
      </c>
      <c r="F35" s="1">
        <v>561775</v>
      </c>
      <c r="G35" s="1">
        <v>1034402</v>
      </c>
      <c r="H35">
        <f>Table1[[#This Row],[Uncorrected LC3-I Intensity]]/Table1[[#This Row],[Alpha Tubulin Intensity]]</f>
        <v>0.52675377525234768</v>
      </c>
      <c r="I35">
        <f>Table1[[#This Row],[Uncorrected LC3-II Intensity]]/Table1[[#This Row],[Alpha Tubulin Intensity]]</f>
        <v>0.96991706399996247</v>
      </c>
    </row>
    <row r="36" spans="1:9" x14ac:dyDescent="0.25">
      <c r="A36">
        <v>3</v>
      </c>
      <c r="B36">
        <v>12</v>
      </c>
      <c r="C36" t="s">
        <v>7</v>
      </c>
      <c r="D36" t="s">
        <v>22</v>
      </c>
      <c r="E36" s="1">
        <v>827589</v>
      </c>
      <c r="F36" s="1">
        <v>556272</v>
      </c>
      <c r="G36" s="1">
        <v>1036824</v>
      </c>
      <c r="H36">
        <f>Table1[[#This Row],[Uncorrected LC3-I Intensity]]/Table1[[#This Row],[Alpha Tubulin Intensity]]</f>
        <v>0.67215973146090635</v>
      </c>
      <c r="I36">
        <f>Table1[[#This Row],[Uncorrected LC3-II Intensity]]/Table1[[#This Row],[Alpha Tubulin Intensity]]</f>
        <v>1.2528247717163954</v>
      </c>
    </row>
    <row r="37" spans="1:9" x14ac:dyDescent="0.25">
      <c r="A37">
        <v>3</v>
      </c>
      <c r="B37">
        <v>13</v>
      </c>
      <c r="C37" t="s">
        <v>7</v>
      </c>
      <c r="D37" t="s">
        <v>23</v>
      </c>
      <c r="E37" s="1">
        <v>598080</v>
      </c>
      <c r="F37" s="1">
        <v>285600</v>
      </c>
      <c r="G37" s="1">
        <v>374050</v>
      </c>
      <c r="H37">
        <f>Table1[[#This Row],[Uncorrected LC3-I Intensity]]/Table1[[#This Row],[Alpha Tubulin Intensity]]</f>
        <v>0.47752808988764045</v>
      </c>
      <c r="I37">
        <f>Table1[[#This Row],[Uncorrected LC3-II Intensity]]/Table1[[#This Row],[Alpha Tubulin Intensity]]</f>
        <v>0.62541800428036387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8127F-98B5-4419-B0DD-CA69E17BD666}">
  <dimension ref="A1:L19"/>
  <sheetViews>
    <sheetView workbookViewId="0">
      <selection activeCell="H1" sqref="H1:L10"/>
    </sheetView>
  </sheetViews>
  <sheetFormatPr defaultRowHeight="15" x14ac:dyDescent="0.25"/>
  <cols>
    <col min="1" max="1" width="18" customWidth="1"/>
    <col min="2" max="3" width="14.7109375" customWidth="1"/>
    <col min="4" max="4" width="20.7109375" customWidth="1"/>
    <col min="5" max="5" width="26" customWidth="1"/>
    <col min="6" max="6" width="30.28515625" customWidth="1"/>
    <col min="9" max="9" width="18.7109375" customWidth="1"/>
    <col min="10" max="10" width="20.5703125" customWidth="1"/>
    <col min="11" max="11" width="24.85546875" customWidth="1"/>
    <col min="12" max="12" width="15.5703125" customWidth="1"/>
  </cols>
  <sheetData>
    <row r="1" spans="1:12" x14ac:dyDescent="0.25">
      <c r="A1" t="s">
        <v>29</v>
      </c>
      <c r="B1" t="s">
        <v>33</v>
      </c>
      <c r="C1" t="s">
        <v>3</v>
      </c>
      <c r="D1" t="s">
        <v>31</v>
      </c>
      <c r="E1" t="s">
        <v>30</v>
      </c>
      <c r="F1" t="s">
        <v>32</v>
      </c>
      <c r="H1" t="s">
        <v>29</v>
      </c>
      <c r="I1" t="s">
        <v>3</v>
      </c>
      <c r="J1" t="s">
        <v>31</v>
      </c>
      <c r="K1" t="s">
        <v>30</v>
      </c>
      <c r="L1" t="s">
        <v>32</v>
      </c>
    </row>
    <row r="2" spans="1:12" x14ac:dyDescent="0.25">
      <c r="A2">
        <v>1</v>
      </c>
      <c r="B2" t="s">
        <v>5</v>
      </c>
      <c r="C2" t="s">
        <v>34</v>
      </c>
      <c r="D2">
        <v>0.22705899933622706</v>
      </c>
      <c r="E2">
        <v>0.75223061652601653</v>
      </c>
      <c r="F2">
        <f xml:space="preserve"> (Table13[[#This Row],[Inhibited LC3-II Intensity]]-Table13[[#This Row],[Basal LC3-II Intensity]])/Table13[[#This Row],[Basal LC3-II Intensity]]</f>
        <v>2.3129302019521356</v>
      </c>
      <c r="H2">
        <v>1</v>
      </c>
      <c r="I2" t="s">
        <v>34</v>
      </c>
      <c r="J2">
        <f>AVERAGE(D2:D3)</f>
        <v>0.2770526353124072</v>
      </c>
      <c r="K2">
        <f t="shared" ref="K2" si="0">AVERAGE(E2:E3)</f>
        <v>0.73721978632530483</v>
      </c>
      <c r="L2">
        <f>AVERAGE(F2:F3)</f>
        <v>1.760603902618775</v>
      </c>
    </row>
    <row r="3" spans="1:12" x14ac:dyDescent="0.25">
      <c r="A3">
        <v>1</v>
      </c>
      <c r="B3" t="s">
        <v>6</v>
      </c>
      <c r="C3" t="s">
        <v>34</v>
      </c>
      <c r="D3">
        <v>0.32704627128858732</v>
      </c>
      <c r="E3">
        <v>0.72220895612459313</v>
      </c>
      <c r="F3">
        <f xml:space="preserve"> (Table13[[#This Row],[Inhibited LC3-II Intensity]]-Table13[[#This Row],[Basal LC3-II Intensity]])/Table13[[#This Row],[Basal LC3-II Intensity]]</f>
        <v>1.2082776032854146</v>
      </c>
      <c r="H3">
        <v>1</v>
      </c>
      <c r="I3" t="s">
        <v>37</v>
      </c>
      <c r="J3">
        <f t="shared" ref="J3:K3" si="1">AVERAGE(D4:D5)</f>
        <v>0.13539530922603321</v>
      </c>
      <c r="K3">
        <f t="shared" si="1"/>
        <v>0.50234184569572748</v>
      </c>
      <c r="L3">
        <f>AVERAGE(F4:F5)</f>
        <v>2.8882425427753002</v>
      </c>
    </row>
    <row r="4" spans="1:12" x14ac:dyDescent="0.25">
      <c r="A4">
        <v>1</v>
      </c>
      <c r="B4" t="s">
        <v>8</v>
      </c>
      <c r="C4" t="s">
        <v>35</v>
      </c>
      <c r="D4">
        <v>9.8389784012603884E-2</v>
      </c>
      <c r="E4">
        <v>0.4466612467448064</v>
      </c>
      <c r="F4">
        <f xml:space="preserve"> (Table13[[#This Row],[Inhibited LC3-II Intensity]]-Table13[[#This Row],[Basal LC3-II Intensity]])/Table13[[#This Row],[Basal LC3-II Intensity]]</f>
        <v>3.5397116298943025</v>
      </c>
      <c r="H4">
        <v>1</v>
      </c>
      <c r="I4" t="s">
        <v>38</v>
      </c>
      <c r="J4">
        <f t="shared" ref="J4:K4" si="2">AVERAGE(D6:D7)</f>
        <v>0.1875642306840197</v>
      </c>
      <c r="K4">
        <f t="shared" si="2"/>
        <v>0.57317130459685661</v>
      </c>
      <c r="L4">
        <f>AVERAGE(F6:F7)</f>
        <v>3.1989108127414019</v>
      </c>
    </row>
    <row r="5" spans="1:12" x14ac:dyDescent="0.25">
      <c r="A5">
        <v>1</v>
      </c>
      <c r="B5" t="s">
        <v>9</v>
      </c>
      <c r="C5" t="s">
        <v>35</v>
      </c>
      <c r="D5">
        <v>0.17240083443946252</v>
      </c>
      <c r="E5">
        <v>0.55802244464664852</v>
      </c>
      <c r="F5">
        <f xml:space="preserve"> (Table13[[#This Row],[Inhibited LC3-II Intensity]]-Table13[[#This Row],[Basal LC3-II Intensity]])/Table13[[#This Row],[Basal LC3-II Intensity]]</f>
        <v>2.2367734556562984</v>
      </c>
      <c r="H5">
        <v>2</v>
      </c>
      <c r="I5" t="s">
        <v>34</v>
      </c>
      <c r="J5">
        <f t="shared" ref="J5:K5" si="3">AVERAGE(D8:D9)</f>
        <v>5.9559585729089565E-2</v>
      </c>
      <c r="K5">
        <f t="shared" si="3"/>
        <v>0.63639845647274662</v>
      </c>
      <c r="L5">
        <f>AVERAGE(F8:F9)</f>
        <v>9.6718388077421373</v>
      </c>
    </row>
    <row r="6" spans="1:12" x14ac:dyDescent="0.25">
      <c r="A6">
        <v>1</v>
      </c>
      <c r="B6" t="s">
        <v>10</v>
      </c>
      <c r="C6" t="s">
        <v>36</v>
      </c>
      <c r="D6">
        <v>0.26905665274713531</v>
      </c>
      <c r="E6">
        <v>0.42189774455030454</v>
      </c>
      <c r="F6">
        <f xml:space="preserve"> (Table13[[#This Row],[Inhibited LC3-II Intensity]]-Table13[[#This Row],[Basal LC3-II Intensity]])/Table13[[#This Row],[Basal LC3-II Intensity]]</f>
        <v>0.56806286052630073</v>
      </c>
      <c r="H6">
        <v>2</v>
      </c>
      <c r="I6" t="s">
        <v>37</v>
      </c>
      <c r="J6">
        <f t="shared" ref="J6:K6" si="4">AVERAGE(D10:D11)</f>
        <v>0.47662359043948277</v>
      </c>
      <c r="K6">
        <f t="shared" si="4"/>
        <v>0.97156560503860201</v>
      </c>
      <c r="L6">
        <f>AVERAGE(F10:F11)</f>
        <v>1.3469792287046529</v>
      </c>
    </row>
    <row r="7" spans="1:12" x14ac:dyDescent="0.25">
      <c r="A7">
        <v>1</v>
      </c>
      <c r="B7" t="s">
        <v>11</v>
      </c>
      <c r="C7" t="s">
        <v>36</v>
      </c>
      <c r="D7">
        <v>0.10607180862090411</v>
      </c>
      <c r="E7">
        <v>0.72444486464340863</v>
      </c>
      <c r="F7">
        <f xml:space="preserve"> (Table13[[#This Row],[Inhibited LC3-II Intensity]]-Table13[[#This Row],[Basal LC3-II Intensity]])/Table13[[#This Row],[Basal LC3-II Intensity]]</f>
        <v>5.8297587649565026</v>
      </c>
      <c r="H7">
        <v>2</v>
      </c>
      <c r="I7" t="s">
        <v>38</v>
      </c>
      <c r="J7">
        <f t="shared" ref="J7:K7" si="5">AVERAGE(D12:D13)</f>
        <v>0.52618126106597485</v>
      </c>
      <c r="K7">
        <f t="shared" si="5"/>
        <v>1.5789024570984591</v>
      </c>
      <c r="L7">
        <f>AVERAGE(F12:F13)</f>
        <v>2.3955221791908725</v>
      </c>
    </row>
    <row r="8" spans="1:12" x14ac:dyDescent="0.25">
      <c r="A8">
        <v>2</v>
      </c>
      <c r="B8" t="s">
        <v>12</v>
      </c>
      <c r="C8" t="s">
        <v>34</v>
      </c>
      <c r="D8">
        <v>5.901698297062781E-2</v>
      </c>
      <c r="E8">
        <v>0.54409455844690868</v>
      </c>
      <c r="F8">
        <f xml:space="preserve"> (Table13[[#This Row],[Inhibited LC3-II Intensity]]-Table13[[#This Row],[Basal LC3-II Intensity]])/Table13[[#This Row],[Basal LC3-II Intensity]]</f>
        <v>8.2192879245911197</v>
      </c>
      <c r="H8">
        <v>3</v>
      </c>
      <c r="I8" t="s">
        <v>34</v>
      </c>
      <c r="J8">
        <f t="shared" ref="J8:K8" si="6">AVERAGE(D14:D15)</f>
        <v>0.66667780141751476</v>
      </c>
      <c r="K8">
        <f t="shared" si="6"/>
        <v>1.3750970438018091</v>
      </c>
      <c r="L8">
        <f>AVERAGE(F14:F15)</f>
        <v>1.153713255010077</v>
      </c>
    </row>
    <row r="9" spans="1:12" x14ac:dyDescent="0.25">
      <c r="A9">
        <v>2</v>
      </c>
      <c r="B9" t="s">
        <v>13</v>
      </c>
      <c r="C9" t="s">
        <v>34</v>
      </c>
      <c r="D9">
        <v>6.0102188487551313E-2</v>
      </c>
      <c r="E9">
        <v>0.72870235449858456</v>
      </c>
      <c r="F9">
        <f xml:space="preserve"> (Table13[[#This Row],[Inhibited LC3-II Intensity]]-Table13[[#This Row],[Basal LC3-II Intensity]])/Table13[[#This Row],[Basal LC3-II Intensity]]</f>
        <v>11.124389690893157</v>
      </c>
      <c r="H9">
        <v>3</v>
      </c>
      <c r="I9" t="s">
        <v>37</v>
      </c>
      <c r="J9">
        <f>AVERAGE(D16:D17)</f>
        <v>0.62980754579837894</v>
      </c>
      <c r="K9">
        <f t="shared" ref="K9" si="7">AVERAGE(E16:E17)</f>
        <v>0.55290567669629498</v>
      </c>
      <c r="L9">
        <f>AVERAGE(F16:F17)</f>
        <v>4.1636854520700033E-2</v>
      </c>
    </row>
    <row r="10" spans="1:12" x14ac:dyDescent="0.25">
      <c r="A10">
        <v>2</v>
      </c>
      <c r="B10" t="s">
        <v>14</v>
      </c>
      <c r="C10" t="s">
        <v>35</v>
      </c>
      <c r="D10">
        <v>0.30768938602654916</v>
      </c>
      <c r="E10">
        <v>0.98998937506036899</v>
      </c>
      <c r="F10">
        <f xml:space="preserve"> (Table13[[#This Row],[Inhibited LC3-II Intensity]]-Table13[[#This Row],[Basal LC3-II Intensity]])/Table13[[#This Row],[Basal LC3-II Intensity]]</f>
        <v>2.2174960204020402</v>
      </c>
      <c r="H10">
        <v>3</v>
      </c>
      <c r="I10" t="s">
        <v>38</v>
      </c>
      <c r="J10">
        <f t="shared" ref="J10:K10" si="8">AVERAGE(D18:D19)</f>
        <v>0.76266393522839704</v>
      </c>
      <c r="K10">
        <f t="shared" si="8"/>
        <v>0.93912138799837963</v>
      </c>
      <c r="L10">
        <f>AVERAGE(F18:F19)</f>
        <v>1.2556723008481274</v>
      </c>
    </row>
    <row r="11" spans="1:12" x14ac:dyDescent="0.25">
      <c r="A11">
        <v>2</v>
      </c>
      <c r="B11" t="s">
        <v>15</v>
      </c>
      <c r="C11" t="s">
        <v>35</v>
      </c>
      <c r="D11">
        <v>0.64555779485241638</v>
      </c>
      <c r="E11">
        <v>0.95314183501683503</v>
      </c>
      <c r="F11">
        <f xml:space="preserve"> (Table13[[#This Row],[Inhibited LC3-II Intensity]]-Table13[[#This Row],[Basal LC3-II Intensity]])/Table13[[#This Row],[Basal LC3-II Intensity]]</f>
        <v>0.47646243700726548</v>
      </c>
    </row>
    <row r="12" spans="1:12" x14ac:dyDescent="0.25">
      <c r="A12">
        <v>2</v>
      </c>
      <c r="B12" t="s">
        <v>16</v>
      </c>
      <c r="C12" t="s">
        <v>36</v>
      </c>
      <c r="D12">
        <v>0.58736704462495259</v>
      </c>
    </row>
    <row r="13" spans="1:12" x14ac:dyDescent="0.25">
      <c r="A13">
        <v>2</v>
      </c>
      <c r="B13" t="s">
        <v>17</v>
      </c>
      <c r="C13" t="s">
        <v>36</v>
      </c>
      <c r="D13">
        <v>0.46499547750699705</v>
      </c>
      <c r="E13">
        <v>1.5789024570984591</v>
      </c>
      <c r="F13">
        <f xml:space="preserve"> (Table13[[#This Row],[Inhibited LC3-II Intensity]]-Table13[[#This Row],[Basal LC3-II Intensity]])/Table13[[#This Row],[Basal LC3-II Intensity]]</f>
        <v>2.3955221791908725</v>
      </c>
    </row>
    <row r="14" spans="1:12" x14ac:dyDescent="0.25">
      <c r="A14">
        <v>3</v>
      </c>
      <c r="B14" t="s">
        <v>18</v>
      </c>
      <c r="C14" t="s">
        <v>34</v>
      </c>
      <c r="D14">
        <v>0.86413451433718658</v>
      </c>
      <c r="E14">
        <v>1.5952985440181764</v>
      </c>
      <c r="F14">
        <f xml:space="preserve"> (Table13[[#This Row],[Inhibited LC3-II Intensity]]-Table13[[#This Row],[Basal LC3-II Intensity]])/Table13[[#This Row],[Basal LC3-II Intensity]]</f>
        <v>0.8461229328883032</v>
      </c>
    </row>
    <row r="15" spans="1:12" x14ac:dyDescent="0.25">
      <c r="A15">
        <v>3</v>
      </c>
      <c r="B15" t="s">
        <v>19</v>
      </c>
      <c r="C15" t="s">
        <v>34</v>
      </c>
      <c r="D15">
        <v>0.46922108849784289</v>
      </c>
      <c r="E15">
        <v>1.1548955435854416</v>
      </c>
      <c r="F15">
        <f xml:space="preserve"> (Table13[[#This Row],[Inhibited LC3-II Intensity]]-Table13[[#This Row],[Basal LC3-II Intensity]])/Table13[[#This Row],[Basal LC3-II Intensity]]</f>
        <v>1.461303577131851</v>
      </c>
    </row>
    <row r="16" spans="1:12" x14ac:dyDescent="0.25">
      <c r="A16">
        <v>3</v>
      </c>
      <c r="B16" t="s">
        <v>20</v>
      </c>
      <c r="C16" t="s">
        <v>35</v>
      </c>
      <c r="D16">
        <v>0.737407184427052</v>
      </c>
      <c r="E16">
        <v>0.56186035156250003</v>
      </c>
    </row>
    <row r="17" spans="1:6" x14ac:dyDescent="0.25">
      <c r="A17">
        <v>3</v>
      </c>
      <c r="B17" t="s">
        <v>21</v>
      </c>
      <c r="C17" t="s">
        <v>35</v>
      </c>
      <c r="D17">
        <v>0.52220790716970578</v>
      </c>
      <c r="E17">
        <v>0.54395100183009004</v>
      </c>
      <c r="F17">
        <f xml:space="preserve"> (Table13[[#This Row],[Inhibited LC3-II Intensity]]-Table13[[#This Row],[Basal LC3-II Intensity]])/Table13[[#This Row],[Basal LC3-II Intensity]]</f>
        <v>4.1636854520700033E-2</v>
      </c>
    </row>
    <row r="18" spans="1:6" x14ac:dyDescent="0.25">
      <c r="A18">
        <v>3</v>
      </c>
      <c r="B18" t="s">
        <v>22</v>
      </c>
      <c r="C18" t="s">
        <v>36</v>
      </c>
      <c r="D18">
        <v>0.55541080645683161</v>
      </c>
      <c r="E18">
        <v>1.2528247717163954</v>
      </c>
      <c r="F18">
        <f xml:space="preserve"> (Table13[[#This Row],[Inhibited LC3-II Intensity]]-Table13[[#This Row],[Basal LC3-II Intensity]])/Table13[[#This Row],[Basal LC3-II Intensity]]</f>
        <v>1.2556723008481274</v>
      </c>
    </row>
    <row r="19" spans="1:6" x14ac:dyDescent="0.25">
      <c r="A19">
        <v>3</v>
      </c>
      <c r="B19" t="s">
        <v>23</v>
      </c>
      <c r="C19" t="s">
        <v>36</v>
      </c>
      <c r="D19">
        <v>0.96991706399996247</v>
      </c>
      <c r="E19">
        <v>0.62541800428036387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C9AFB-6EC0-4600-B2AB-E644F8136485}">
  <dimension ref="A1:E10"/>
  <sheetViews>
    <sheetView workbookViewId="0">
      <selection activeCell="D2" sqref="D2:D10"/>
    </sheetView>
  </sheetViews>
  <sheetFormatPr defaultRowHeight="15" x14ac:dyDescent="0.25"/>
  <cols>
    <col min="3" max="3" width="27.28515625" customWidth="1"/>
  </cols>
  <sheetData>
    <row r="1" spans="1:5" x14ac:dyDescent="0.25">
      <c r="A1" t="s">
        <v>29</v>
      </c>
      <c r="B1" t="s">
        <v>3</v>
      </c>
      <c r="C1" t="s">
        <v>31</v>
      </c>
      <c r="D1" t="s">
        <v>30</v>
      </c>
      <c r="E1" t="s">
        <v>32</v>
      </c>
    </row>
    <row r="2" spans="1:5" x14ac:dyDescent="0.25">
      <c r="A2">
        <v>1</v>
      </c>
      <c r="B2" t="s">
        <v>34</v>
      </c>
      <c r="C2">
        <v>0.2770526353124072</v>
      </c>
      <c r="D2">
        <v>0.73721978632530483</v>
      </c>
      <c r="E2">
        <v>1.760603902618775</v>
      </c>
    </row>
    <row r="3" spans="1:5" x14ac:dyDescent="0.25">
      <c r="A3">
        <v>1</v>
      </c>
      <c r="B3" t="s">
        <v>37</v>
      </c>
      <c r="C3">
        <v>0.13539530922603321</v>
      </c>
      <c r="D3">
        <v>0.50234184569572748</v>
      </c>
      <c r="E3">
        <v>2.8882425427753002</v>
      </c>
    </row>
    <row r="4" spans="1:5" x14ac:dyDescent="0.25">
      <c r="A4">
        <v>1</v>
      </c>
      <c r="B4" t="s">
        <v>38</v>
      </c>
      <c r="C4">
        <v>0.1875642306840197</v>
      </c>
      <c r="D4">
        <v>0.57317130459685661</v>
      </c>
      <c r="E4">
        <v>3.1989108127414019</v>
      </c>
    </row>
    <row r="5" spans="1:5" x14ac:dyDescent="0.25">
      <c r="A5">
        <v>2</v>
      </c>
      <c r="B5" t="s">
        <v>34</v>
      </c>
      <c r="C5">
        <v>5.9559585729089565E-2</v>
      </c>
      <c r="D5">
        <v>0.63639845647274662</v>
      </c>
      <c r="E5">
        <v>9.6718388077421373</v>
      </c>
    </row>
    <row r="6" spans="1:5" x14ac:dyDescent="0.25">
      <c r="A6">
        <v>2</v>
      </c>
      <c r="B6" t="s">
        <v>37</v>
      </c>
      <c r="C6">
        <v>0.47662359043948277</v>
      </c>
      <c r="D6">
        <v>0.97156560503860201</v>
      </c>
      <c r="E6">
        <v>1.3469792287046529</v>
      </c>
    </row>
    <row r="7" spans="1:5" x14ac:dyDescent="0.25">
      <c r="A7">
        <v>2</v>
      </c>
      <c r="B7" t="s">
        <v>38</v>
      </c>
      <c r="C7">
        <v>0.52618126106597485</v>
      </c>
      <c r="D7">
        <v>1.5789024570984591</v>
      </c>
      <c r="E7">
        <v>2.3955221791908725</v>
      </c>
    </row>
    <row r="8" spans="1:5" x14ac:dyDescent="0.25">
      <c r="A8">
        <v>3</v>
      </c>
      <c r="B8" t="s">
        <v>34</v>
      </c>
      <c r="C8">
        <v>0.66667780141751476</v>
      </c>
      <c r="D8">
        <v>1.3750970438018091</v>
      </c>
      <c r="E8">
        <v>1.153713255010077</v>
      </c>
    </row>
    <row r="9" spans="1:5" x14ac:dyDescent="0.25">
      <c r="A9">
        <v>3</v>
      </c>
      <c r="B9" t="s">
        <v>37</v>
      </c>
      <c r="C9">
        <v>0.62980754579837894</v>
      </c>
      <c r="D9">
        <v>0.55290567669629498</v>
      </c>
      <c r="E9">
        <v>4.1636854520700033E-2</v>
      </c>
    </row>
    <row r="10" spans="1:5" x14ac:dyDescent="0.25">
      <c r="A10">
        <v>3</v>
      </c>
      <c r="B10" t="s">
        <v>38</v>
      </c>
      <c r="C10">
        <v>0.76266393522839704</v>
      </c>
      <c r="D10">
        <v>0.93912138799837963</v>
      </c>
      <c r="E10">
        <v>1.2556723008481274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FC283-300D-44AC-8BEA-89543F1E2CF2}">
  <dimension ref="A1:D19"/>
  <sheetViews>
    <sheetView tabSelected="1" workbookViewId="0">
      <selection activeCell="F17" sqref="F17"/>
    </sheetView>
  </sheetViews>
  <sheetFormatPr defaultRowHeight="15" x14ac:dyDescent="0.25"/>
  <cols>
    <col min="2" max="3" width="13" customWidth="1"/>
    <col min="4" max="4" width="18.42578125" customWidth="1"/>
  </cols>
  <sheetData>
    <row r="1" spans="1:4" x14ac:dyDescent="0.25">
      <c r="A1" t="s">
        <v>29</v>
      </c>
      <c r="B1" t="s">
        <v>3</v>
      </c>
      <c r="C1" t="s">
        <v>2</v>
      </c>
      <c r="D1" t="s">
        <v>39</v>
      </c>
    </row>
    <row r="2" spans="1:4" x14ac:dyDescent="0.25">
      <c r="A2">
        <v>1</v>
      </c>
      <c r="B2" t="s">
        <v>34</v>
      </c>
      <c r="C2" t="s">
        <v>4</v>
      </c>
      <c r="D2">
        <v>0.2770526353124072</v>
      </c>
    </row>
    <row r="3" spans="1:4" x14ac:dyDescent="0.25">
      <c r="A3">
        <v>1</v>
      </c>
      <c r="B3" t="s">
        <v>37</v>
      </c>
      <c r="C3" t="s">
        <v>4</v>
      </c>
      <c r="D3">
        <v>0.13539530922603321</v>
      </c>
    </row>
    <row r="4" spans="1:4" x14ac:dyDescent="0.25">
      <c r="A4">
        <v>1</v>
      </c>
      <c r="B4" t="s">
        <v>38</v>
      </c>
      <c r="C4" t="s">
        <v>4</v>
      </c>
      <c r="D4">
        <v>0.1875642306840197</v>
      </c>
    </row>
    <row r="5" spans="1:4" x14ac:dyDescent="0.25">
      <c r="A5">
        <v>2</v>
      </c>
      <c r="B5" t="s">
        <v>34</v>
      </c>
      <c r="C5" t="s">
        <v>4</v>
      </c>
      <c r="D5">
        <v>5.9559585729089565E-2</v>
      </c>
    </row>
    <row r="6" spans="1:4" x14ac:dyDescent="0.25">
      <c r="A6">
        <v>2</v>
      </c>
      <c r="B6" t="s">
        <v>37</v>
      </c>
      <c r="C6" t="s">
        <v>4</v>
      </c>
      <c r="D6">
        <v>0.47662359043948277</v>
      </c>
    </row>
    <row r="7" spans="1:4" x14ac:dyDescent="0.25">
      <c r="A7">
        <v>2</v>
      </c>
      <c r="B7" t="s">
        <v>38</v>
      </c>
      <c r="C7" t="s">
        <v>4</v>
      </c>
      <c r="D7">
        <v>0.52618126106597485</v>
      </c>
    </row>
    <row r="8" spans="1:4" x14ac:dyDescent="0.25">
      <c r="A8">
        <v>3</v>
      </c>
      <c r="B8" t="s">
        <v>34</v>
      </c>
      <c r="C8" t="s">
        <v>4</v>
      </c>
      <c r="D8">
        <v>0.66667780141751476</v>
      </c>
    </row>
    <row r="9" spans="1:4" x14ac:dyDescent="0.25">
      <c r="A9">
        <v>3</v>
      </c>
      <c r="B9" t="s">
        <v>37</v>
      </c>
      <c r="C9" t="s">
        <v>4</v>
      </c>
      <c r="D9">
        <v>0.62980754579837894</v>
      </c>
    </row>
    <row r="10" spans="1:4" x14ac:dyDescent="0.25">
      <c r="A10">
        <v>3</v>
      </c>
      <c r="B10" t="s">
        <v>38</v>
      </c>
      <c r="C10" t="s">
        <v>4</v>
      </c>
      <c r="D10">
        <v>0.76266393522839704</v>
      </c>
    </row>
    <row r="11" spans="1:4" x14ac:dyDescent="0.25">
      <c r="A11">
        <v>1</v>
      </c>
      <c r="B11" t="s">
        <v>34</v>
      </c>
      <c r="C11" t="s">
        <v>7</v>
      </c>
      <c r="D11">
        <v>0.73721978632530483</v>
      </c>
    </row>
    <row r="12" spans="1:4" x14ac:dyDescent="0.25">
      <c r="A12">
        <v>1</v>
      </c>
      <c r="B12" t="s">
        <v>37</v>
      </c>
      <c r="C12" t="s">
        <v>7</v>
      </c>
      <c r="D12">
        <v>0.50234184569572748</v>
      </c>
    </row>
    <row r="13" spans="1:4" x14ac:dyDescent="0.25">
      <c r="A13">
        <v>1</v>
      </c>
      <c r="B13" t="s">
        <v>38</v>
      </c>
      <c r="C13" t="s">
        <v>7</v>
      </c>
      <c r="D13">
        <v>0.57317130459685661</v>
      </c>
    </row>
    <row r="14" spans="1:4" x14ac:dyDescent="0.25">
      <c r="A14">
        <v>2</v>
      </c>
      <c r="B14" t="s">
        <v>34</v>
      </c>
      <c r="C14" t="s">
        <v>7</v>
      </c>
      <c r="D14">
        <v>0.63639845647274662</v>
      </c>
    </row>
    <row r="15" spans="1:4" x14ac:dyDescent="0.25">
      <c r="A15">
        <v>2</v>
      </c>
      <c r="B15" t="s">
        <v>37</v>
      </c>
      <c r="C15" t="s">
        <v>7</v>
      </c>
      <c r="D15">
        <v>0.97156560503860201</v>
      </c>
    </row>
    <row r="16" spans="1:4" x14ac:dyDescent="0.25">
      <c r="A16">
        <v>2</v>
      </c>
      <c r="B16" t="s">
        <v>38</v>
      </c>
      <c r="C16" t="s">
        <v>7</v>
      </c>
      <c r="D16">
        <v>1.5789024570984591</v>
      </c>
    </row>
    <row r="17" spans="1:4" x14ac:dyDescent="0.25">
      <c r="A17">
        <v>3</v>
      </c>
      <c r="B17" t="s">
        <v>34</v>
      </c>
      <c r="C17" t="s">
        <v>7</v>
      </c>
      <c r="D17">
        <v>1.3750970438018091</v>
      </c>
    </row>
    <row r="18" spans="1:4" x14ac:dyDescent="0.25">
      <c r="A18">
        <v>3</v>
      </c>
      <c r="B18" t="s">
        <v>37</v>
      </c>
      <c r="C18" t="s">
        <v>7</v>
      </c>
      <c r="D18">
        <v>0.55290567669629498</v>
      </c>
    </row>
    <row r="19" spans="1:4" x14ac:dyDescent="0.25">
      <c r="A19">
        <v>3</v>
      </c>
      <c r="B19" t="s">
        <v>38</v>
      </c>
      <c r="C19" t="s">
        <v>7</v>
      </c>
      <c r="D19">
        <v>0.93912138799837963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Autophagic flux</vt:lpstr>
      <vt:lpstr>For R</vt:lpstr>
      <vt:lpstr>For R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Westcott</dc:creator>
  <cp:lastModifiedBy>Felix Westcott</cp:lastModifiedBy>
  <dcterms:created xsi:type="dcterms:W3CDTF">2015-06-05T18:17:20Z</dcterms:created>
  <dcterms:modified xsi:type="dcterms:W3CDTF">2022-06-30T09:58:03Z</dcterms:modified>
</cp:coreProperties>
</file>