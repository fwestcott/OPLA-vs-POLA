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-vs-POLA/"/>
    </mc:Choice>
  </mc:AlternateContent>
  <xr:revisionPtr revIDLastSave="253" documentId="11_F25DC773A252ABDACC1048A9519B73345BDE58ED" xr6:coauthVersionLast="47" xr6:coauthVersionMax="47" xr10:uidLastSave="{15DB6B99-37F6-4487-A2C8-CD8E57CAF866}"/>
  <bookViews>
    <workbookView xWindow="-120" yWindow="-120" windowWidth="29040" windowHeight="15840" activeTab="1" xr2:uid="{00000000-000D-0000-FFFF-FFFF00000000}"/>
  </bookViews>
  <sheets>
    <sheet name="Round 2+3 formulae" sheetId="1" r:id="rId1"/>
    <sheet name="All Corrected Data" sheetId="2" r:id="rId2"/>
    <sheet name="For 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" i="2"/>
  <c r="N4" i="2"/>
  <c r="N6" i="2"/>
  <c r="N7" i="2"/>
  <c r="N9" i="2"/>
  <c r="N10" i="2"/>
  <c r="N12" i="2"/>
  <c r="N13" i="2"/>
  <c r="N15" i="2"/>
  <c r="N16" i="2"/>
  <c r="N18" i="2"/>
  <c r="N19" i="2"/>
  <c r="N21" i="2"/>
  <c r="N22" i="2"/>
  <c r="N24" i="2"/>
  <c r="N25" i="2"/>
  <c r="N27" i="2"/>
  <c r="N28" i="2"/>
  <c r="N3" i="2"/>
  <c r="P2" i="1" l="1"/>
  <c r="Q2" i="1"/>
  <c r="R2" i="1"/>
  <c r="S2" i="1"/>
  <c r="T2" i="1"/>
  <c r="U2" i="1"/>
  <c r="V2" i="1"/>
  <c r="Q3" i="1"/>
  <c r="R3" i="1"/>
  <c r="S3" i="1"/>
  <c r="T3" i="1"/>
  <c r="U3" i="1"/>
  <c r="V3" i="1"/>
  <c r="Q4" i="1"/>
  <c r="R4" i="1"/>
  <c r="S4" i="1"/>
  <c r="T4" i="1"/>
  <c r="U4" i="1"/>
  <c r="V4" i="1"/>
  <c r="Q5" i="1"/>
  <c r="R5" i="1"/>
  <c r="S5" i="1"/>
  <c r="T5" i="1"/>
  <c r="U5" i="1"/>
  <c r="V5" i="1"/>
  <c r="Q6" i="1"/>
  <c r="R6" i="1"/>
  <c r="S6" i="1"/>
  <c r="T6" i="1"/>
  <c r="U6" i="1"/>
  <c r="V6" i="1"/>
  <c r="Q7" i="1"/>
  <c r="R7" i="1"/>
  <c r="S7" i="1"/>
  <c r="T7" i="1"/>
  <c r="U7" i="1"/>
  <c r="V7" i="1"/>
  <c r="Q8" i="1"/>
  <c r="R8" i="1"/>
  <c r="S8" i="1"/>
  <c r="T8" i="1"/>
  <c r="U8" i="1"/>
  <c r="V8" i="1"/>
  <c r="Q9" i="1"/>
  <c r="R9" i="1"/>
  <c r="S9" i="1"/>
  <c r="T9" i="1"/>
  <c r="U9" i="1"/>
  <c r="V9" i="1"/>
  <c r="Q10" i="1"/>
  <c r="R10" i="1"/>
  <c r="S10" i="1"/>
  <c r="T10" i="1"/>
  <c r="U10" i="1"/>
  <c r="V10" i="1"/>
  <c r="Q11" i="1"/>
  <c r="R11" i="1"/>
  <c r="S11" i="1"/>
  <c r="T11" i="1"/>
  <c r="U11" i="1"/>
  <c r="V11" i="1"/>
  <c r="Q12" i="1"/>
  <c r="R12" i="1"/>
  <c r="S12" i="1"/>
  <c r="T12" i="1"/>
  <c r="U12" i="1"/>
  <c r="V12" i="1"/>
  <c r="Q13" i="1"/>
  <c r="R13" i="1"/>
  <c r="S13" i="1"/>
  <c r="T13" i="1"/>
  <c r="U13" i="1"/>
  <c r="V13" i="1"/>
  <c r="Q14" i="1"/>
  <c r="R14" i="1"/>
  <c r="S14" i="1"/>
  <c r="T14" i="1"/>
  <c r="U14" i="1"/>
  <c r="V14" i="1"/>
  <c r="Q15" i="1"/>
  <c r="R15" i="1"/>
  <c r="S15" i="1"/>
  <c r="T15" i="1"/>
  <c r="U15" i="1"/>
  <c r="V15" i="1"/>
  <c r="Q16" i="1"/>
  <c r="R16" i="1"/>
  <c r="S16" i="1"/>
  <c r="T16" i="1"/>
  <c r="U16" i="1"/>
  <c r="V16" i="1"/>
  <c r="Q17" i="1"/>
  <c r="R17" i="1"/>
  <c r="S17" i="1"/>
  <c r="T17" i="1"/>
  <c r="U17" i="1"/>
  <c r="V17" i="1"/>
  <c r="Q18" i="1"/>
  <c r="R18" i="1"/>
  <c r="S18" i="1"/>
  <c r="T18" i="1"/>
  <c r="U18" i="1"/>
  <c r="V18" i="1"/>
  <c r="Q19" i="1"/>
  <c r="R19" i="1"/>
  <c r="S19" i="1"/>
  <c r="T19" i="1"/>
  <c r="U19" i="1"/>
  <c r="V1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</calcChain>
</file>

<file path=xl/sharedStrings.xml><?xml version="1.0" encoding="utf-8"?>
<sst xmlns="http://schemas.openxmlformats.org/spreadsheetml/2006/main" count="124" uniqueCount="38">
  <si>
    <t>Round</t>
  </si>
  <si>
    <t>Fat Mix</t>
  </si>
  <si>
    <t>Glucose (mM)</t>
  </si>
  <si>
    <t>Insulin (nM)</t>
  </si>
  <si>
    <t>Sample Number</t>
  </si>
  <si>
    <t>Protein (mg/mL)</t>
  </si>
  <si>
    <t>Uncorrected Glu</t>
  </si>
  <si>
    <t>Uncorrected OHB</t>
  </si>
  <si>
    <t>Uncorrected FrTAG</t>
  </si>
  <si>
    <t>Uncorrected FrApoB</t>
  </si>
  <si>
    <t>Uncorrected NEFA</t>
  </si>
  <si>
    <t>Uncorrected Lac</t>
  </si>
  <si>
    <t>Uncorrected Urea</t>
  </si>
  <si>
    <t>Time (days)</t>
  </si>
  <si>
    <t>Control</t>
  </si>
  <si>
    <t>OPLA</t>
  </si>
  <si>
    <t>POLA</t>
  </si>
  <si>
    <t>Fat Amount (nM)</t>
  </si>
  <si>
    <t>Glu</t>
  </si>
  <si>
    <t>OHB</t>
  </si>
  <si>
    <t>NEFA</t>
  </si>
  <si>
    <t>Lac</t>
  </si>
  <si>
    <t>Urea</t>
  </si>
  <si>
    <t>FrTAG</t>
  </si>
  <si>
    <t>FrApoB</t>
  </si>
  <si>
    <t>TAG:ApoB Ratio</t>
  </si>
  <si>
    <t>Media 3-OHB (umol/g of protein)</t>
  </si>
  <si>
    <t>Media TAG (umol/g of protein)</t>
  </si>
  <si>
    <t>Media NEFA (umol/g of protein)</t>
  </si>
  <si>
    <t>Media Lactate (mmol/g of protein)</t>
  </si>
  <si>
    <t>Media Urea (mmol/g of protein)</t>
  </si>
  <si>
    <t>Fatty acid uptake (%)</t>
  </si>
  <si>
    <t>Media</t>
  </si>
  <si>
    <t>ApoB (mg/mg of protein)</t>
  </si>
  <si>
    <t>Treatment Length (days)</t>
  </si>
  <si>
    <t>Media ApoB (mg/mg of protein)</t>
  </si>
  <si>
    <t>800uM OPLA</t>
  </si>
  <si>
    <t>800uM POLA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</si>
</sst>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</cellXfs>
  <cellStyles count="1">
    <cellStyle name="Normal" xfId="0" builtinId="0"/>
  </cellStyles>
  <dxfs count="8">
    <dxf>
      <border outline="0">
        <top style="thin">
          <color rgb="FF9BC2E6"/>
        </top>
      </border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C6C179-A991-46EA-A73B-DDDE97C9511B}" name="Table1" displayName="Table1" ref="A1:V19" totalsRowShown="0" headerRowDxfId="6" headerRowBorderDxfId="5" tableBorderDxfId="4">
  <autoFilter ref="A1:V19" xr:uid="{7EC6C179-A991-46EA-A73B-DDDE97C9511B}"/>
  <sortState xmlns:xlrd2="http://schemas.microsoft.com/office/spreadsheetml/2017/richdata2" ref="A2:O19">
    <sortCondition descending="1" ref="G1:G19"/>
  </sortState>
  <tableColumns count="22">
    <tableColumn id="1" xr3:uid="{E228FC28-AD57-49B6-8045-45CB095B14A6}" name="Round"/>
    <tableColumn id="2" xr3:uid="{76BFFD4E-FEB9-4CFA-A6D3-4F8BFDEC2184}" name="Time (days)"/>
    <tableColumn id="3" xr3:uid="{459EEC42-2C92-4804-92C7-4C319BD4C0DE}" name="Fat Mix"/>
    <tableColumn id="17" xr3:uid="{36C31956-4440-42C1-B7AA-ECB6D1C58F36}" name="Fat Amount (nM)"/>
    <tableColumn id="15" xr3:uid="{E5BC40E5-A2AE-4B97-B06B-DC14ABEBEF97}" name="Glucose (mM)"/>
    <tableColumn id="16" xr3:uid="{87F0E6BB-36C1-48EC-A57A-5E152130E949}" name="Insulin (nM)"/>
    <tableColumn id="4" xr3:uid="{8238FCA6-F72E-4D2B-AD49-A4098D544883}" name="Sample Number"/>
    <tableColumn id="6" xr3:uid="{9065566C-8E20-456A-83DD-4461F5033778}" name="Protein (mg/mL)"/>
    <tableColumn id="7" xr3:uid="{2E2D52DF-2CD5-4416-B300-BDECB76E13CF}" name="Uncorrected Glu"/>
    <tableColumn id="8" xr3:uid="{14E516DF-DBF2-46A2-AAFE-1C3D6B604555}" name="Uncorrected OHB"/>
    <tableColumn id="9" xr3:uid="{0584213A-4648-43FE-95F4-4B1B7EBF33FE}" name="Uncorrected FrTAG"/>
    <tableColumn id="10" xr3:uid="{DE1B04BD-7658-4445-93AD-6DC3DF081ECF}" name="Uncorrected FrApoB"/>
    <tableColumn id="11" xr3:uid="{C182B1E5-5368-47CF-88F8-6E2F40221B7F}" name="Uncorrected NEFA"/>
    <tableColumn id="12" xr3:uid="{000CEF1E-56E3-4F2F-A6C4-07D0B4D43874}" name="Uncorrected Lac"/>
    <tableColumn id="13" xr3:uid="{BAC39382-A63D-4025-BAF9-36E635EA207D}" name="Uncorrected Urea"/>
    <tableColumn id="5" xr3:uid="{DF81D07D-2508-4F16-85F7-7991DD71EAF5}" name="Glu">
      <calculatedColumnFormula>Table1[[#This Row],[Uncorrected Glu]]/$H2</calculatedColumnFormula>
    </tableColumn>
    <tableColumn id="14" xr3:uid="{F8EEB763-21A9-4152-802D-6853D3AF3C62}" name="OHB">
      <calculatedColumnFormula>Table1[[#This Row],[Uncorrected OHB]]/$H2</calculatedColumnFormula>
    </tableColumn>
    <tableColumn id="18" xr3:uid="{FEEB1636-2506-48EC-A451-377BF6DEC245}" name="FrTAG">
      <calculatedColumnFormula>Table1[[#This Row],[Uncorrected FrTAG]]/$H2</calculatedColumnFormula>
    </tableColumn>
    <tableColumn id="19" xr3:uid="{7A1D238A-AA48-4EC7-A259-845A9ACA5538}" name="FrApoB">
      <calculatedColumnFormula>Table1[[#This Row],[Uncorrected FrApoB]]/$H2</calculatedColumnFormula>
    </tableColumn>
    <tableColumn id="20" xr3:uid="{D17D9B36-7A00-433F-ADB1-EE9A69EE3AA9}" name="NEFA">
      <calculatedColumnFormula>Table1[[#This Row],[Uncorrected NEFA]]/$H2</calculatedColumnFormula>
    </tableColumn>
    <tableColumn id="21" xr3:uid="{1EE85692-4E19-427A-BFE1-7AB51A0C4E51}" name="Lac">
      <calculatedColumnFormula>Table1[[#This Row],[Uncorrected Lac]]/$H2</calculatedColumnFormula>
    </tableColumn>
    <tableColumn id="22" xr3:uid="{FBAC51F5-EE42-423E-BF76-A89CAC462D5E}" name="Urea">
      <calculatedColumnFormula>Table1[[#This Row],[Uncorrected Urea]]/$H2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E6C461-5A0A-447F-B696-D3699CDB447C}" name="Table13" displayName="Table13" ref="A1:O28" totalsRowShown="0" headerRowDxfId="2" headerRowBorderDxfId="1" tableBorderDxfId="0">
  <autoFilter ref="A1:O28" xr:uid="{7EC6C179-A991-46EA-A73B-DDDE97C9511B}"/>
  <tableColumns count="15">
    <tableColumn id="1" xr3:uid="{F7CAA606-FE88-43EB-906A-65F08F64CD70}" name="Round"/>
    <tableColumn id="2" xr3:uid="{B3D4D334-00F2-4F41-9FBA-0C2E4745E03F}" name="Time (days)"/>
    <tableColumn id="3" xr3:uid="{0F65439E-EAF3-491C-8AAE-12FAA45E1A40}" name="Media"/>
    <tableColumn id="17" xr3:uid="{44CC8E66-E55F-4206-8A5D-2498DB193AE3}" name="Fat Amount (nM)"/>
    <tableColumn id="15" xr3:uid="{04F7AE0F-1A41-4DE5-8329-F2E5B006A8D1}" name="Glucose (mM)"/>
    <tableColumn id="16" xr3:uid="{A546076E-7246-4778-9742-9BAD9E9A8904}" name="Insulin (nM)"/>
    <tableColumn id="6" xr3:uid="{6758C1F9-7E31-49F7-86A9-401EBBCC5916}" name="Protein (mg/mL)"/>
    <tableColumn id="8" xr3:uid="{0216296C-503A-41FB-8528-BAA2E04D3F74}" name="Media 3-OHB (umol/g of protein)"/>
    <tableColumn id="9" xr3:uid="{0FD2AD6B-6E49-4BD6-B242-109C5682520B}" name="Media TAG (umol/g of protein)"/>
    <tableColumn id="10" xr3:uid="{BA65917A-0662-441B-81FF-0BE613A613D0}" name="ApoB (mg/mg of protein)"/>
    <tableColumn id="11" xr3:uid="{917BDD6D-9F8F-472E-9E2D-8079DAA0F543}" name="Media NEFA (umol/g of protein)"/>
    <tableColumn id="12" xr3:uid="{7D7D78F0-3DDC-41BA-BDE5-011B6E5EE59F}" name="Media Lactate (mmol/g of protein)"/>
    <tableColumn id="13" xr3:uid="{860D4BF1-686E-4A35-9921-A355381EF02E}" name="Media Urea (mmol/g of protein)"/>
    <tableColumn id="4" xr3:uid="{0AD95203-E7E6-4B4E-A103-1DB80DB68E6C}" name="Fatty acid uptake (%)"/>
    <tableColumn id="5" xr3:uid="{1B109DFE-349A-4268-8EAA-93D994BD398E}" name="TAG:ApoB Ratio">
      <calculatedColumnFormula>Table13[[#This Row],[Media TAG (umol/g of protein)]]/Table13[[#This Row],[ApoB (mg/mg of protein)]]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workbookViewId="0">
      <selection activeCell="P2" sqref="P2:V19"/>
    </sheetView>
  </sheetViews>
  <sheetFormatPr defaultRowHeight="15" x14ac:dyDescent="0.25"/>
  <cols>
    <col min="1" max="1" width="13.7109375" customWidth="1"/>
    <col min="2" max="2" width="13.42578125" customWidth="1"/>
    <col min="3" max="3" width="9.7109375" customWidth="1"/>
    <col min="4" max="4" width="14" customWidth="1"/>
    <col min="5" max="6" width="9.7109375" customWidth="1"/>
    <col min="7" max="7" width="17.42578125" hidden="1" customWidth="1"/>
    <col min="8" max="8" width="17.7109375" customWidth="1"/>
    <col min="9" max="9" width="17.7109375" hidden="1" customWidth="1"/>
    <col min="10" max="10" width="18.42578125" hidden="1" customWidth="1"/>
    <col min="11" max="11" width="20" hidden="1" customWidth="1"/>
    <col min="12" max="12" width="21" hidden="1" customWidth="1"/>
    <col min="13" max="13" width="19.28515625" hidden="1" customWidth="1"/>
    <col min="14" max="14" width="17.28515625" hidden="1" customWidth="1"/>
    <col min="15" max="15" width="18.85546875" hidden="1" customWidth="1"/>
  </cols>
  <sheetData>
    <row r="1" spans="1:22" ht="30" x14ac:dyDescent="0.25">
      <c r="A1" s="1" t="s">
        <v>0</v>
      </c>
      <c r="B1" s="2" t="s">
        <v>13</v>
      </c>
      <c r="C1" s="2" t="s">
        <v>1</v>
      </c>
      <c r="D1" s="3" t="s">
        <v>17</v>
      </c>
      <c r="E1" t="s">
        <v>2</v>
      </c>
      <c r="F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18</v>
      </c>
      <c r="Q1" s="2" t="s">
        <v>19</v>
      </c>
      <c r="R1" s="2" t="s">
        <v>23</v>
      </c>
      <c r="S1" s="2" t="s">
        <v>24</v>
      </c>
      <c r="T1" s="2" t="s">
        <v>20</v>
      </c>
      <c r="U1" s="2" t="s">
        <v>21</v>
      </c>
      <c r="V1" s="2" t="s">
        <v>22</v>
      </c>
    </row>
    <row r="2" spans="1:22" x14ac:dyDescent="0.25">
      <c r="A2">
        <v>2</v>
      </c>
      <c r="B2">
        <v>2</v>
      </c>
      <c r="C2" t="s">
        <v>14</v>
      </c>
      <c r="D2">
        <v>0</v>
      </c>
      <c r="E2">
        <v>5.5</v>
      </c>
      <c r="F2">
        <v>0.5</v>
      </c>
      <c r="G2">
        <v>18</v>
      </c>
      <c r="H2">
        <v>9.9113870719333335</v>
      </c>
      <c r="I2">
        <v>0</v>
      </c>
      <c r="J2">
        <v>0</v>
      </c>
      <c r="K2">
        <v>11</v>
      </c>
      <c r="L2">
        <v>0.01</v>
      </c>
      <c r="M2">
        <v>5</v>
      </c>
      <c r="N2">
        <v>7.97</v>
      </c>
      <c r="O2">
        <v>0.8</v>
      </c>
      <c r="P2">
        <f>Table1[[#This Row],[Uncorrected Glu]]/$H2</f>
        <v>0</v>
      </c>
      <c r="Q2">
        <f>Table1[[#This Row],[Uncorrected OHB]]/$H2</f>
        <v>0</v>
      </c>
      <c r="R2">
        <f>Table1[[#This Row],[Uncorrected FrTAG]]/$H2</f>
        <v>1.1098345690836107</v>
      </c>
      <c r="S2">
        <f>Table1[[#This Row],[Uncorrected FrApoB]]/$H2</f>
        <v>1.0089405173487368E-3</v>
      </c>
      <c r="T2">
        <f>Table1[[#This Row],[Uncorrected NEFA]]/$H2</f>
        <v>0.50447025867436845</v>
      </c>
      <c r="U2">
        <f>Table1[[#This Row],[Uncorrected Lac]]/$H2</f>
        <v>0.80412559232694325</v>
      </c>
      <c r="V2">
        <f>Table1[[#This Row],[Uncorrected Urea]]/$H2</f>
        <v>8.0715241387898956E-2</v>
      </c>
    </row>
    <row r="3" spans="1:22" x14ac:dyDescent="0.25">
      <c r="A3">
        <v>2</v>
      </c>
      <c r="B3">
        <v>2</v>
      </c>
      <c r="C3" t="s">
        <v>15</v>
      </c>
      <c r="D3">
        <v>800</v>
      </c>
      <c r="E3">
        <v>5.5</v>
      </c>
      <c r="F3">
        <v>0.5</v>
      </c>
      <c r="G3">
        <v>17</v>
      </c>
      <c r="H3">
        <v>10.8689926372</v>
      </c>
      <c r="I3">
        <v>0</v>
      </c>
      <c r="J3">
        <v>0</v>
      </c>
      <c r="K3">
        <v>47</v>
      </c>
      <c r="L3">
        <v>0.02</v>
      </c>
      <c r="M3">
        <v>237</v>
      </c>
      <c r="N3">
        <v>6.99</v>
      </c>
      <c r="O3">
        <v>0.5</v>
      </c>
      <c r="P3">
        <f>Table1[[#This Row],[Uncorrected Glu]]/$H3</f>
        <v>0</v>
      </c>
      <c r="Q3">
        <f>Table1[[#This Row],[Uncorrected OHB]]/$H3</f>
        <v>0</v>
      </c>
      <c r="R3">
        <f>Table1[[#This Row],[Uncorrected FrTAG]]/$H3</f>
        <v>4.3242277889800684</v>
      </c>
      <c r="S3">
        <f>Table1[[#This Row],[Uncorrected FrApoB]]/$H3</f>
        <v>1.8400969314808803E-3</v>
      </c>
      <c r="T3">
        <f>Table1[[#This Row],[Uncorrected NEFA]]/$H3</f>
        <v>21.805148638048429</v>
      </c>
      <c r="U3">
        <f>Table1[[#This Row],[Uncorrected Lac]]/$H3</f>
        <v>0.64311387755256766</v>
      </c>
      <c r="V3">
        <f>Table1[[#This Row],[Uncorrected Urea]]/$H3</f>
        <v>4.6002423287022004E-2</v>
      </c>
    </row>
    <row r="4" spans="1:22" x14ac:dyDescent="0.25">
      <c r="A4">
        <v>2</v>
      </c>
      <c r="B4">
        <v>2</v>
      </c>
      <c r="C4" t="s">
        <v>16</v>
      </c>
      <c r="D4">
        <v>800</v>
      </c>
      <c r="E4">
        <v>5.5</v>
      </c>
      <c r="F4">
        <v>0.5</v>
      </c>
      <c r="G4">
        <v>16</v>
      </c>
      <c r="H4">
        <v>9.5658290743666665</v>
      </c>
      <c r="I4">
        <v>0</v>
      </c>
      <c r="J4">
        <v>0</v>
      </c>
      <c r="K4">
        <v>54</v>
      </c>
      <c r="L4">
        <v>0.02</v>
      </c>
      <c r="M4">
        <v>320</v>
      </c>
      <c r="N4">
        <v>7.91</v>
      </c>
      <c r="O4">
        <v>0.7</v>
      </c>
      <c r="P4">
        <f>Table1[[#This Row],[Uncorrected Glu]]/$H4</f>
        <v>0</v>
      </c>
      <c r="Q4">
        <f>Table1[[#This Row],[Uncorrected OHB]]/$H4</f>
        <v>0</v>
      </c>
      <c r="R4">
        <f>Table1[[#This Row],[Uncorrected FrTAG]]/$H4</f>
        <v>5.6450935491522181</v>
      </c>
      <c r="S4">
        <f>Table1[[#This Row],[Uncorrected FrApoB]]/$H4</f>
        <v>2.0907753885748954E-3</v>
      </c>
      <c r="T4">
        <f>Table1[[#This Row],[Uncorrected NEFA]]/$H4</f>
        <v>33.45240621719833</v>
      </c>
      <c r="U4">
        <f>Table1[[#This Row],[Uncorrected Lac]]/$H4</f>
        <v>0.82690166618137118</v>
      </c>
      <c r="V4">
        <f>Table1[[#This Row],[Uncorrected Urea]]/$H4</f>
        <v>7.3177138600121344E-2</v>
      </c>
    </row>
    <row r="5" spans="1:22" x14ac:dyDescent="0.25">
      <c r="A5">
        <v>2</v>
      </c>
      <c r="B5">
        <v>5</v>
      </c>
      <c r="C5" t="s">
        <v>14</v>
      </c>
      <c r="D5">
        <v>0</v>
      </c>
      <c r="E5">
        <v>5.5</v>
      </c>
      <c r="F5">
        <v>0.5</v>
      </c>
      <c r="G5">
        <v>15</v>
      </c>
      <c r="H5">
        <v>9.9113870719333335</v>
      </c>
      <c r="I5">
        <v>0</v>
      </c>
      <c r="J5">
        <v>9</v>
      </c>
      <c r="K5">
        <v>8</v>
      </c>
      <c r="L5">
        <v>0.02</v>
      </c>
      <c r="M5">
        <v>3</v>
      </c>
      <c r="N5">
        <v>5.21</v>
      </c>
      <c r="O5">
        <v>1</v>
      </c>
      <c r="P5">
        <f>Table1[[#This Row],[Uncorrected Glu]]/$H5</f>
        <v>0</v>
      </c>
      <c r="Q5">
        <f>Table1[[#This Row],[Uncorrected OHB]]/$H5</f>
        <v>0.90804646561386315</v>
      </c>
      <c r="R5">
        <f>Table1[[#This Row],[Uncorrected FrTAG]]/$H5</f>
        <v>0.80715241387898951</v>
      </c>
      <c r="S5">
        <f>Table1[[#This Row],[Uncorrected FrApoB]]/$H5</f>
        <v>2.0178810346974736E-3</v>
      </c>
      <c r="T5">
        <f>Table1[[#This Row],[Uncorrected NEFA]]/$H5</f>
        <v>0.30268215520462105</v>
      </c>
      <c r="U5">
        <f>Table1[[#This Row],[Uncorrected Lac]]/$H5</f>
        <v>0.52565800953869191</v>
      </c>
      <c r="V5">
        <f>Table1[[#This Row],[Uncorrected Urea]]/$H5</f>
        <v>0.10089405173487369</v>
      </c>
    </row>
    <row r="6" spans="1:22" x14ac:dyDescent="0.25">
      <c r="A6">
        <v>2</v>
      </c>
      <c r="B6">
        <v>5</v>
      </c>
      <c r="C6" t="s">
        <v>15</v>
      </c>
      <c r="D6">
        <v>800</v>
      </c>
      <c r="E6">
        <v>5.5</v>
      </c>
      <c r="F6">
        <v>0.5</v>
      </c>
      <c r="G6">
        <v>14</v>
      </c>
      <c r="H6">
        <v>10.8689926372</v>
      </c>
      <c r="I6">
        <v>0</v>
      </c>
      <c r="J6">
        <v>7</v>
      </c>
      <c r="K6">
        <v>34</v>
      </c>
      <c r="L6">
        <v>0.01</v>
      </c>
      <c r="M6">
        <v>152</v>
      </c>
      <c r="N6">
        <v>2.56</v>
      </c>
      <c r="O6">
        <v>0.6</v>
      </c>
      <c r="P6">
        <f>Table1[[#This Row],[Uncorrected Glu]]/$H6</f>
        <v>0</v>
      </c>
      <c r="Q6">
        <f>Table1[[#This Row],[Uncorrected OHB]]/$H6</f>
        <v>0.64403392601830811</v>
      </c>
      <c r="R6">
        <f>Table1[[#This Row],[Uncorrected FrTAG]]/$H6</f>
        <v>3.1281647835174966</v>
      </c>
      <c r="S6">
        <f>Table1[[#This Row],[Uncorrected FrApoB]]/$H6</f>
        <v>9.2004846574044016E-4</v>
      </c>
      <c r="T6">
        <f>Table1[[#This Row],[Uncorrected NEFA]]/$H6</f>
        <v>13.98473667925469</v>
      </c>
      <c r="U6">
        <f>Table1[[#This Row],[Uncorrected Lac]]/$H6</f>
        <v>0.23553240722955268</v>
      </c>
      <c r="V6">
        <f>Table1[[#This Row],[Uncorrected Urea]]/$H6</f>
        <v>5.5202907944426408E-2</v>
      </c>
    </row>
    <row r="7" spans="1:22" x14ac:dyDescent="0.25">
      <c r="A7">
        <v>2</v>
      </c>
      <c r="B7">
        <v>5</v>
      </c>
      <c r="C7" t="s">
        <v>16</v>
      </c>
      <c r="D7">
        <v>800</v>
      </c>
      <c r="E7">
        <v>5.5</v>
      </c>
      <c r="F7">
        <v>0.5</v>
      </c>
      <c r="G7">
        <v>13</v>
      </c>
      <c r="H7">
        <v>9.5658290743666665</v>
      </c>
      <c r="I7">
        <v>0</v>
      </c>
      <c r="J7">
        <v>2</v>
      </c>
      <c r="K7">
        <v>37</v>
      </c>
      <c r="L7">
        <v>0.02</v>
      </c>
      <c r="M7">
        <v>290</v>
      </c>
      <c r="N7">
        <v>3.49</v>
      </c>
      <c r="O7">
        <v>0.6</v>
      </c>
      <c r="P7">
        <f>Table1[[#This Row],[Uncorrected Glu]]/$H7</f>
        <v>0</v>
      </c>
      <c r="Q7">
        <f>Table1[[#This Row],[Uncorrected OHB]]/$H7</f>
        <v>0.20907753885748956</v>
      </c>
      <c r="R7">
        <f>Table1[[#This Row],[Uncorrected FrTAG]]/$H7</f>
        <v>3.8679344688635569</v>
      </c>
      <c r="S7">
        <f>Table1[[#This Row],[Uncorrected FrApoB]]/$H7</f>
        <v>2.0907753885748954E-3</v>
      </c>
      <c r="T7">
        <f>Table1[[#This Row],[Uncorrected NEFA]]/$H7</f>
        <v>30.316243134335984</v>
      </c>
      <c r="U7">
        <f>Table1[[#This Row],[Uncorrected Lac]]/$H7</f>
        <v>0.36484030530631928</v>
      </c>
      <c r="V7">
        <f>Table1[[#This Row],[Uncorrected Urea]]/$H7</f>
        <v>6.2723261657246857E-2</v>
      </c>
    </row>
    <row r="8" spans="1:22" x14ac:dyDescent="0.25">
      <c r="A8">
        <v>2</v>
      </c>
      <c r="B8">
        <v>7</v>
      </c>
      <c r="C8" t="s">
        <v>14</v>
      </c>
      <c r="D8">
        <v>0</v>
      </c>
      <c r="E8">
        <v>5.5</v>
      </c>
      <c r="F8">
        <v>0.5</v>
      </c>
      <c r="G8">
        <v>12</v>
      </c>
      <c r="H8">
        <v>9.9113870719333335</v>
      </c>
      <c r="I8">
        <v>0</v>
      </c>
      <c r="J8">
        <v>11</v>
      </c>
      <c r="K8">
        <v>17</v>
      </c>
      <c r="L8">
        <v>0.02</v>
      </c>
      <c r="M8">
        <v>3</v>
      </c>
      <c r="N8">
        <v>5.17</v>
      </c>
      <c r="O8">
        <v>1.1000000000000001</v>
      </c>
      <c r="P8">
        <f>Table1[[#This Row],[Uncorrected Glu]]/$H8</f>
        <v>0</v>
      </c>
      <c r="Q8">
        <f>Table1[[#This Row],[Uncorrected OHB]]/$H8</f>
        <v>1.1098345690836107</v>
      </c>
      <c r="R8">
        <f>Table1[[#This Row],[Uncorrected FrTAG]]/$H8</f>
        <v>1.7151988794928528</v>
      </c>
      <c r="S8">
        <f>Table1[[#This Row],[Uncorrected FrApoB]]/$H8</f>
        <v>2.0178810346974736E-3</v>
      </c>
      <c r="T8">
        <f>Table1[[#This Row],[Uncorrected NEFA]]/$H8</f>
        <v>0.30268215520462105</v>
      </c>
      <c r="U8">
        <f>Table1[[#This Row],[Uncorrected Lac]]/$H8</f>
        <v>0.52162224746929697</v>
      </c>
      <c r="V8">
        <f>Table1[[#This Row],[Uncorrected Urea]]/$H8</f>
        <v>0.11098345690836106</v>
      </c>
    </row>
    <row r="9" spans="1:22" x14ac:dyDescent="0.25">
      <c r="A9">
        <v>2</v>
      </c>
      <c r="B9">
        <v>7</v>
      </c>
      <c r="C9" t="s">
        <v>15</v>
      </c>
      <c r="D9">
        <v>800</v>
      </c>
      <c r="E9">
        <v>5.5</v>
      </c>
      <c r="F9">
        <v>0.5</v>
      </c>
      <c r="G9">
        <v>11</v>
      </c>
      <c r="H9">
        <v>10.8689926372</v>
      </c>
      <c r="I9">
        <v>0.02</v>
      </c>
      <c r="J9">
        <v>14</v>
      </c>
      <c r="K9">
        <v>23</v>
      </c>
      <c r="L9">
        <v>0.02</v>
      </c>
      <c r="M9">
        <v>73</v>
      </c>
      <c r="N9">
        <v>2.81</v>
      </c>
      <c r="O9">
        <v>0.8</v>
      </c>
      <c r="P9">
        <f>Table1[[#This Row],[Uncorrected Glu]]/$H9</f>
        <v>1.8400969314808803E-3</v>
      </c>
      <c r="Q9">
        <f>Table1[[#This Row],[Uncorrected OHB]]/$H9</f>
        <v>1.2880678520366162</v>
      </c>
      <c r="R9">
        <f>Table1[[#This Row],[Uncorrected FrTAG]]/$H9</f>
        <v>2.1161114712030122</v>
      </c>
      <c r="S9">
        <f>Table1[[#This Row],[Uncorrected FrApoB]]/$H9</f>
        <v>1.8400969314808803E-3</v>
      </c>
      <c r="T9">
        <f>Table1[[#This Row],[Uncorrected NEFA]]/$H9</f>
        <v>6.716353799905213</v>
      </c>
      <c r="U9">
        <f>Table1[[#This Row],[Uncorrected Lac]]/$H9</f>
        <v>0.2585336188730637</v>
      </c>
      <c r="V9">
        <f>Table1[[#This Row],[Uncorrected Urea]]/$H9</f>
        <v>7.3603877259235215E-2</v>
      </c>
    </row>
    <row r="10" spans="1:22" x14ac:dyDescent="0.25">
      <c r="A10">
        <v>2</v>
      </c>
      <c r="B10">
        <v>7</v>
      </c>
      <c r="C10" t="s">
        <v>16</v>
      </c>
      <c r="D10">
        <v>800</v>
      </c>
      <c r="E10">
        <v>5.5</v>
      </c>
      <c r="F10">
        <v>0.5</v>
      </c>
      <c r="G10">
        <v>10</v>
      </c>
      <c r="H10">
        <v>9.5658290743666665</v>
      </c>
      <c r="I10">
        <v>0.04</v>
      </c>
      <c r="J10">
        <v>15</v>
      </c>
      <c r="K10">
        <v>36</v>
      </c>
      <c r="L10">
        <v>0.02</v>
      </c>
      <c r="M10">
        <v>176</v>
      </c>
      <c r="N10">
        <v>4.25</v>
      </c>
      <c r="O10">
        <v>0.6</v>
      </c>
      <c r="P10">
        <f>Table1[[#This Row],[Uncorrected Glu]]/$H10</f>
        <v>4.1815507771497907E-3</v>
      </c>
      <c r="Q10">
        <f>Table1[[#This Row],[Uncorrected OHB]]/$H10</f>
        <v>1.5680815414311715</v>
      </c>
      <c r="R10">
        <f>Table1[[#This Row],[Uncorrected FrTAG]]/$H10</f>
        <v>3.7633956994348119</v>
      </c>
      <c r="S10">
        <f>Table1[[#This Row],[Uncorrected FrApoB]]/$H10</f>
        <v>2.0907753885748954E-3</v>
      </c>
      <c r="T10">
        <f>Table1[[#This Row],[Uncorrected NEFA]]/$H10</f>
        <v>18.398823419459081</v>
      </c>
      <c r="U10">
        <f>Table1[[#This Row],[Uncorrected Lac]]/$H10</f>
        <v>0.4442897700721653</v>
      </c>
      <c r="V10">
        <f>Table1[[#This Row],[Uncorrected Urea]]/$H10</f>
        <v>6.2723261657246857E-2</v>
      </c>
    </row>
    <row r="11" spans="1:22" x14ac:dyDescent="0.25">
      <c r="A11">
        <v>3</v>
      </c>
      <c r="B11">
        <v>2</v>
      </c>
      <c r="C11" t="s">
        <v>14</v>
      </c>
      <c r="D11">
        <v>0</v>
      </c>
      <c r="E11">
        <v>5.5</v>
      </c>
      <c r="F11">
        <v>0.5</v>
      </c>
      <c r="G11">
        <v>9</v>
      </c>
      <c r="H11">
        <v>9.6064679761333327</v>
      </c>
      <c r="I11">
        <v>0.47</v>
      </c>
      <c r="J11">
        <v>2</v>
      </c>
      <c r="K11">
        <v>20</v>
      </c>
      <c r="L11">
        <v>0.02</v>
      </c>
      <c r="M11">
        <v>5</v>
      </c>
      <c r="N11">
        <v>8.66</v>
      </c>
      <c r="O11">
        <v>0.6</v>
      </c>
      <c r="P11">
        <f>Table1[[#This Row],[Uncorrected Glu]]/$H11</f>
        <v>4.8925369986938541E-2</v>
      </c>
      <c r="Q11">
        <f>Table1[[#This Row],[Uncorrected OHB]]/$H11</f>
        <v>0.20819306377420657</v>
      </c>
      <c r="R11">
        <f>Table1[[#This Row],[Uncorrected FrTAG]]/$H11</f>
        <v>2.0819306377420657</v>
      </c>
      <c r="S11">
        <f>Table1[[#This Row],[Uncorrected FrApoB]]/$H11</f>
        <v>2.0819306377420658E-3</v>
      </c>
      <c r="T11">
        <f>Table1[[#This Row],[Uncorrected NEFA]]/$H11</f>
        <v>0.52048265943551641</v>
      </c>
      <c r="U11">
        <f>Table1[[#This Row],[Uncorrected Lac]]/$H11</f>
        <v>0.9014759661423144</v>
      </c>
      <c r="V11">
        <f>Table1[[#This Row],[Uncorrected Urea]]/$H11</f>
        <v>6.2457919132261966E-2</v>
      </c>
    </row>
    <row r="12" spans="1:22" x14ac:dyDescent="0.25">
      <c r="A12">
        <v>3</v>
      </c>
      <c r="B12">
        <v>2</v>
      </c>
      <c r="C12" t="s">
        <v>15</v>
      </c>
      <c r="D12">
        <v>800</v>
      </c>
      <c r="E12">
        <v>5.5</v>
      </c>
      <c r="F12">
        <v>0.5</v>
      </c>
      <c r="G12">
        <v>8</v>
      </c>
      <c r="H12">
        <v>12.089459591799999</v>
      </c>
      <c r="I12">
        <v>0.16</v>
      </c>
      <c r="J12">
        <v>3</v>
      </c>
      <c r="K12">
        <v>55</v>
      </c>
      <c r="L12">
        <v>0.02</v>
      </c>
      <c r="M12">
        <v>420</v>
      </c>
      <c r="N12">
        <v>7.61</v>
      </c>
      <c r="O12">
        <v>0.4</v>
      </c>
      <c r="P12">
        <f>Table1[[#This Row],[Uncorrected Glu]]/$H12</f>
        <v>1.3234669323724305E-2</v>
      </c>
      <c r="Q12">
        <f>Table1[[#This Row],[Uncorrected OHB]]/$H12</f>
        <v>0.24815004981983071</v>
      </c>
      <c r="R12">
        <f>Table1[[#This Row],[Uncorrected FrTAG]]/$H12</f>
        <v>4.5494175800302301</v>
      </c>
      <c r="S12">
        <f>Table1[[#This Row],[Uncorrected FrApoB]]/$H12</f>
        <v>1.6543336654655382E-3</v>
      </c>
      <c r="T12">
        <f>Table1[[#This Row],[Uncorrected NEFA]]/$H12</f>
        <v>34.741006974776298</v>
      </c>
      <c r="U12">
        <f>Table1[[#This Row],[Uncorrected Lac]]/$H12</f>
        <v>0.62947395970963727</v>
      </c>
      <c r="V12">
        <f>Table1[[#This Row],[Uncorrected Urea]]/$H12</f>
        <v>3.3086673309310762E-2</v>
      </c>
    </row>
    <row r="13" spans="1:22" x14ac:dyDescent="0.25">
      <c r="A13">
        <v>3</v>
      </c>
      <c r="B13">
        <v>2</v>
      </c>
      <c r="C13" t="s">
        <v>16</v>
      </c>
      <c r="D13">
        <v>800</v>
      </c>
      <c r="E13">
        <v>5.5</v>
      </c>
      <c r="F13">
        <v>0.5</v>
      </c>
      <c r="G13">
        <v>7</v>
      </c>
      <c r="H13">
        <v>9.8181311856999987</v>
      </c>
      <c r="I13">
        <v>0.33</v>
      </c>
      <c r="J13">
        <v>4</v>
      </c>
      <c r="K13">
        <v>56</v>
      </c>
      <c r="L13">
        <v>0.02</v>
      </c>
      <c r="M13">
        <v>559</v>
      </c>
      <c r="N13">
        <v>7.91</v>
      </c>
      <c r="O13">
        <v>0.6</v>
      </c>
      <c r="P13">
        <f>Table1[[#This Row],[Uncorrected Glu]]/$H13</f>
        <v>3.361128444490958E-2</v>
      </c>
      <c r="Q13">
        <f>Table1[[#This Row],[Uncorrected OHB]]/$H13</f>
        <v>0.40740950842314638</v>
      </c>
      <c r="R13">
        <f>Table1[[#This Row],[Uncorrected FrTAG]]/$H13</f>
        <v>5.7037331179240498</v>
      </c>
      <c r="S13">
        <f>Table1[[#This Row],[Uncorrected FrApoB]]/$H13</f>
        <v>2.0370475421157322E-3</v>
      </c>
      <c r="T13">
        <f>Table1[[#This Row],[Uncorrected NEFA]]/$H13</f>
        <v>56.93547880213471</v>
      </c>
      <c r="U13">
        <f>Table1[[#This Row],[Uncorrected Lac]]/$H13</f>
        <v>0.80565230290677203</v>
      </c>
      <c r="V13">
        <f>Table1[[#This Row],[Uncorrected Urea]]/$H13</f>
        <v>6.1111426263471956E-2</v>
      </c>
    </row>
    <row r="14" spans="1:22" x14ac:dyDescent="0.25">
      <c r="A14">
        <v>3</v>
      </c>
      <c r="B14">
        <v>5</v>
      </c>
      <c r="C14" t="s">
        <v>14</v>
      </c>
      <c r="D14">
        <v>0</v>
      </c>
      <c r="E14">
        <v>5.5</v>
      </c>
      <c r="F14">
        <v>0.5</v>
      </c>
      <c r="G14">
        <v>6</v>
      </c>
      <c r="H14">
        <v>9.6064679761333327</v>
      </c>
      <c r="I14">
        <v>0.03</v>
      </c>
      <c r="J14">
        <v>6</v>
      </c>
      <c r="K14">
        <v>8</v>
      </c>
      <c r="L14">
        <v>0.01</v>
      </c>
      <c r="M14">
        <v>4</v>
      </c>
      <c r="N14">
        <v>6.41</v>
      </c>
      <c r="O14">
        <v>0.8</v>
      </c>
      <c r="P14">
        <f>Table1[[#This Row],[Uncorrected Glu]]/$H14</f>
        <v>3.1228959566130983E-3</v>
      </c>
      <c r="Q14">
        <f>Table1[[#This Row],[Uncorrected OHB]]/$H14</f>
        <v>0.62457919132261974</v>
      </c>
      <c r="R14">
        <f>Table1[[#This Row],[Uncorrected FrTAG]]/$H14</f>
        <v>0.83277225509682629</v>
      </c>
      <c r="S14">
        <f>Table1[[#This Row],[Uncorrected FrApoB]]/$H14</f>
        <v>1.0409653188710329E-3</v>
      </c>
      <c r="T14">
        <f>Table1[[#This Row],[Uncorrected NEFA]]/$H14</f>
        <v>0.41638612754841314</v>
      </c>
      <c r="U14">
        <f>Table1[[#This Row],[Uncorrected Lac]]/$H14</f>
        <v>0.66725876939633211</v>
      </c>
      <c r="V14">
        <f>Table1[[#This Row],[Uncorrected Urea]]/$H14</f>
        <v>8.3277225509682626E-2</v>
      </c>
    </row>
    <row r="15" spans="1:22" x14ac:dyDescent="0.25">
      <c r="A15">
        <v>3</v>
      </c>
      <c r="B15">
        <v>5</v>
      </c>
      <c r="C15" t="s">
        <v>15</v>
      </c>
      <c r="D15">
        <v>800</v>
      </c>
      <c r="E15">
        <v>5.5</v>
      </c>
      <c r="F15">
        <v>0.5</v>
      </c>
      <c r="G15">
        <v>5</v>
      </c>
      <c r="H15">
        <v>12.089459591799999</v>
      </c>
      <c r="I15">
        <v>0</v>
      </c>
      <c r="J15">
        <v>0</v>
      </c>
      <c r="K15">
        <v>52</v>
      </c>
      <c r="L15">
        <v>0.01</v>
      </c>
      <c r="M15">
        <v>221</v>
      </c>
      <c r="N15">
        <v>4.1399999999999997</v>
      </c>
      <c r="O15">
        <v>0.6</v>
      </c>
      <c r="P15">
        <f>Table1[[#This Row],[Uncorrected Glu]]/$H15</f>
        <v>0</v>
      </c>
      <c r="Q15">
        <f>Table1[[#This Row],[Uncorrected OHB]]/$H15</f>
        <v>0</v>
      </c>
      <c r="R15">
        <f>Table1[[#This Row],[Uncorrected FrTAG]]/$H15</f>
        <v>4.3012675302103993</v>
      </c>
      <c r="S15">
        <f>Table1[[#This Row],[Uncorrected FrApoB]]/$H15</f>
        <v>8.2716683273276908E-4</v>
      </c>
      <c r="T15">
        <f>Table1[[#This Row],[Uncorrected NEFA]]/$H15</f>
        <v>18.280387003394196</v>
      </c>
      <c r="U15">
        <f>Table1[[#This Row],[Uncorrected Lac]]/$H15</f>
        <v>0.34244706875136638</v>
      </c>
      <c r="V15">
        <f>Table1[[#This Row],[Uncorrected Urea]]/$H15</f>
        <v>4.9630009963966139E-2</v>
      </c>
    </row>
    <row r="16" spans="1:22" x14ac:dyDescent="0.25">
      <c r="A16">
        <v>3</v>
      </c>
      <c r="B16">
        <v>5</v>
      </c>
      <c r="C16" t="s">
        <v>16</v>
      </c>
      <c r="D16">
        <v>800</v>
      </c>
      <c r="E16">
        <v>5.5</v>
      </c>
      <c r="F16">
        <v>0.5</v>
      </c>
      <c r="G16">
        <v>4</v>
      </c>
      <c r="H16">
        <v>9.8181311856999987</v>
      </c>
      <c r="I16">
        <v>0</v>
      </c>
      <c r="J16">
        <v>0</v>
      </c>
      <c r="K16">
        <v>53</v>
      </c>
      <c r="L16">
        <v>0.02</v>
      </c>
      <c r="M16">
        <v>340</v>
      </c>
      <c r="N16">
        <v>5.4</v>
      </c>
      <c r="O16">
        <v>0.8</v>
      </c>
      <c r="P16">
        <f>Table1[[#This Row],[Uncorrected Glu]]/$H16</f>
        <v>0</v>
      </c>
      <c r="Q16">
        <f>Table1[[#This Row],[Uncorrected OHB]]/$H16</f>
        <v>0</v>
      </c>
      <c r="R16">
        <f>Table1[[#This Row],[Uncorrected FrTAG]]/$H16</f>
        <v>5.3981759866066898</v>
      </c>
      <c r="S16">
        <f>Table1[[#This Row],[Uncorrected FrApoB]]/$H16</f>
        <v>2.0370475421157322E-3</v>
      </c>
      <c r="T16">
        <f>Table1[[#This Row],[Uncorrected NEFA]]/$H16</f>
        <v>34.629808215967444</v>
      </c>
      <c r="U16">
        <f>Table1[[#This Row],[Uncorrected Lac]]/$H16</f>
        <v>0.55000283637124769</v>
      </c>
      <c r="V16">
        <f>Table1[[#This Row],[Uncorrected Urea]]/$H16</f>
        <v>8.1481901684629279E-2</v>
      </c>
    </row>
    <row r="17" spans="1:22" x14ac:dyDescent="0.25">
      <c r="A17">
        <v>3</v>
      </c>
      <c r="B17">
        <v>7</v>
      </c>
      <c r="C17" t="s">
        <v>14</v>
      </c>
      <c r="D17">
        <v>0</v>
      </c>
      <c r="E17">
        <v>5.5</v>
      </c>
      <c r="F17">
        <v>0.5</v>
      </c>
      <c r="G17">
        <v>3</v>
      </c>
      <c r="H17">
        <v>9.6064679761333327</v>
      </c>
      <c r="I17">
        <v>0</v>
      </c>
      <c r="J17">
        <v>1</v>
      </c>
      <c r="K17">
        <v>12</v>
      </c>
      <c r="L17">
        <v>0.02</v>
      </c>
      <c r="M17">
        <v>5</v>
      </c>
      <c r="N17">
        <v>6.56</v>
      </c>
      <c r="O17">
        <v>0.9</v>
      </c>
      <c r="P17">
        <f>Table1[[#This Row],[Uncorrected Glu]]/$H17</f>
        <v>0</v>
      </c>
      <c r="Q17">
        <f>Table1[[#This Row],[Uncorrected OHB]]/$H17</f>
        <v>0.10409653188710329</v>
      </c>
      <c r="R17">
        <f>Table1[[#This Row],[Uncorrected FrTAG]]/$H17</f>
        <v>1.2491583826452395</v>
      </c>
      <c r="S17">
        <f>Table1[[#This Row],[Uncorrected FrApoB]]/$H17</f>
        <v>2.0819306377420658E-3</v>
      </c>
      <c r="T17">
        <f>Table1[[#This Row],[Uncorrected NEFA]]/$H17</f>
        <v>0.52048265943551641</v>
      </c>
      <c r="U17">
        <f>Table1[[#This Row],[Uncorrected Lac]]/$H17</f>
        <v>0.68287324917939751</v>
      </c>
      <c r="V17">
        <f>Table1[[#This Row],[Uncorrected Urea]]/$H17</f>
        <v>9.3686878698392956E-2</v>
      </c>
    </row>
    <row r="18" spans="1:22" x14ac:dyDescent="0.25">
      <c r="A18">
        <v>3</v>
      </c>
      <c r="B18">
        <v>7</v>
      </c>
      <c r="C18" t="s">
        <v>15</v>
      </c>
      <c r="D18">
        <v>800</v>
      </c>
      <c r="E18">
        <v>5.5</v>
      </c>
      <c r="F18">
        <v>0.5</v>
      </c>
      <c r="G18">
        <v>2</v>
      </c>
      <c r="H18">
        <v>12.089459591799999</v>
      </c>
      <c r="I18">
        <v>0</v>
      </c>
      <c r="J18">
        <v>9</v>
      </c>
      <c r="K18">
        <v>25</v>
      </c>
      <c r="L18">
        <v>0.02</v>
      </c>
      <c r="M18">
        <v>131</v>
      </c>
      <c r="N18">
        <v>5.04</v>
      </c>
      <c r="O18">
        <v>0.5</v>
      </c>
      <c r="P18">
        <f>Table1[[#This Row],[Uncorrected Glu]]/$H18</f>
        <v>0</v>
      </c>
      <c r="Q18">
        <f>Table1[[#This Row],[Uncorrected OHB]]/$H18</f>
        <v>0.74445014945949217</v>
      </c>
      <c r="R18">
        <f>Table1[[#This Row],[Uncorrected FrTAG]]/$H18</f>
        <v>2.0679170818319226</v>
      </c>
      <c r="S18">
        <f>Table1[[#This Row],[Uncorrected FrApoB]]/$H18</f>
        <v>1.6543336654655382E-3</v>
      </c>
      <c r="T18">
        <f>Table1[[#This Row],[Uncorrected NEFA]]/$H18</f>
        <v>10.835885508799274</v>
      </c>
      <c r="U18">
        <f>Table1[[#This Row],[Uncorrected Lac]]/$H18</f>
        <v>0.41689208369731562</v>
      </c>
      <c r="V18">
        <f>Table1[[#This Row],[Uncorrected Urea]]/$H18</f>
        <v>4.135834163663845E-2</v>
      </c>
    </row>
    <row r="19" spans="1:22" x14ac:dyDescent="0.25">
      <c r="A19">
        <v>3</v>
      </c>
      <c r="B19">
        <v>7</v>
      </c>
      <c r="C19" t="s">
        <v>16</v>
      </c>
      <c r="D19">
        <v>800</v>
      </c>
      <c r="E19">
        <v>5.5</v>
      </c>
      <c r="F19">
        <v>0.5</v>
      </c>
      <c r="G19">
        <v>1</v>
      </c>
      <c r="H19">
        <v>9.8181311856999987</v>
      </c>
      <c r="I19">
        <v>0.03</v>
      </c>
      <c r="J19">
        <v>8</v>
      </c>
      <c r="K19">
        <v>24</v>
      </c>
      <c r="L19">
        <v>0.02</v>
      </c>
      <c r="M19">
        <v>200</v>
      </c>
      <c r="N19">
        <v>5.88</v>
      </c>
      <c r="O19">
        <v>0.6</v>
      </c>
      <c r="P19">
        <f>Table1[[#This Row],[Uncorrected Glu]]/$H19</f>
        <v>3.0555713131735977E-3</v>
      </c>
      <c r="Q19">
        <f>Table1[[#This Row],[Uncorrected OHB]]/$H19</f>
        <v>0.81481901684629277</v>
      </c>
      <c r="R19">
        <f>Table1[[#This Row],[Uncorrected FrTAG]]/$H19</f>
        <v>2.4444570505388783</v>
      </c>
      <c r="S19">
        <f>Table1[[#This Row],[Uncorrected FrApoB]]/$H19</f>
        <v>2.0370475421157322E-3</v>
      </c>
      <c r="T19">
        <f>Table1[[#This Row],[Uncorrected NEFA]]/$H19</f>
        <v>20.37047542115732</v>
      </c>
      <c r="U19">
        <f>Table1[[#This Row],[Uncorrected Lac]]/$H19</f>
        <v>0.59889197738202515</v>
      </c>
      <c r="V19">
        <f>Table1[[#This Row],[Uncorrected Urea]]/$H19</f>
        <v>6.1111426263471956E-2</v>
      </c>
    </row>
  </sheetData>
  <phoneticPr fontId="2" type="noConversion"/>
  <conditionalFormatting sqref="I1:O1">
    <cfRule type="cellIs" dxfId="7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F4B2-6967-432A-AE7C-DD65BD6196AF}">
  <dimension ref="A1:O28"/>
  <sheetViews>
    <sheetView tabSelected="1" workbookViewId="0">
      <selection activeCell="I31" sqref="I31"/>
    </sheetView>
  </sheetViews>
  <sheetFormatPr defaultRowHeight="15" x14ac:dyDescent="0.25"/>
  <cols>
    <col min="1" max="1" width="13.7109375" customWidth="1"/>
    <col min="2" max="2" width="13.42578125" customWidth="1"/>
    <col min="3" max="3" width="13.140625" customWidth="1"/>
    <col min="4" max="4" width="14" customWidth="1"/>
    <col min="5" max="6" width="9.7109375" customWidth="1"/>
    <col min="7" max="7" width="17.7109375" customWidth="1"/>
    <col min="8" max="8" width="18.42578125" customWidth="1"/>
    <col min="9" max="9" width="20" customWidth="1"/>
    <col min="10" max="10" width="21" customWidth="1"/>
    <col min="11" max="11" width="19.28515625" customWidth="1"/>
    <col min="12" max="12" width="17.28515625" customWidth="1"/>
    <col min="13" max="13" width="18.85546875" customWidth="1"/>
    <col min="14" max="14" width="16.42578125" customWidth="1"/>
    <col min="15" max="15" width="20" customWidth="1"/>
  </cols>
  <sheetData>
    <row r="1" spans="1:15" ht="45" x14ac:dyDescent="0.25">
      <c r="A1" s="1" t="s">
        <v>0</v>
      </c>
      <c r="B1" s="2" t="s">
        <v>13</v>
      </c>
      <c r="C1" s="2" t="s">
        <v>32</v>
      </c>
      <c r="D1" s="3" t="s">
        <v>17</v>
      </c>
      <c r="E1" t="s">
        <v>2</v>
      </c>
      <c r="F1" t="s">
        <v>3</v>
      </c>
      <c r="G1" s="2" t="s">
        <v>5</v>
      </c>
      <c r="H1" s="2" t="s">
        <v>26</v>
      </c>
      <c r="I1" s="2" t="s">
        <v>27</v>
      </c>
      <c r="J1" s="2" t="s">
        <v>33</v>
      </c>
      <c r="K1" s="2" t="s">
        <v>28</v>
      </c>
      <c r="L1" s="2" t="s">
        <v>29</v>
      </c>
      <c r="M1" s="2" t="s">
        <v>30</v>
      </c>
      <c r="N1" s="4" t="s">
        <v>31</v>
      </c>
      <c r="O1" s="4" t="s">
        <v>25</v>
      </c>
    </row>
    <row r="2" spans="1:15" x14ac:dyDescent="0.25">
      <c r="A2">
        <v>2</v>
      </c>
      <c r="B2">
        <v>2</v>
      </c>
      <c r="C2" t="s">
        <v>14</v>
      </c>
      <c r="D2">
        <v>0</v>
      </c>
      <c r="E2">
        <v>5.5</v>
      </c>
      <c r="F2">
        <v>0.5</v>
      </c>
      <c r="G2">
        <v>9.9113870719333335</v>
      </c>
      <c r="H2">
        <v>0</v>
      </c>
      <c r="I2">
        <v>1.1098345690836107</v>
      </c>
      <c r="J2">
        <v>1.0089405173487368E-3</v>
      </c>
      <c r="K2">
        <v>0.50447025867436845</v>
      </c>
      <c r="L2">
        <v>0.80412559232694325</v>
      </c>
      <c r="M2">
        <v>8.0715241387898956E-2</v>
      </c>
      <c r="O2">
        <f>Table13[[#This Row],[Media TAG (umol/g of protein)]]/Table13[[#This Row],[ApoB (mg/mg of protein)]]</f>
        <v>1100.0000000000002</v>
      </c>
    </row>
    <row r="3" spans="1:15" x14ac:dyDescent="0.25">
      <c r="A3">
        <v>2</v>
      </c>
      <c r="B3">
        <v>2</v>
      </c>
      <c r="C3" t="s">
        <v>36</v>
      </c>
      <c r="D3">
        <v>800</v>
      </c>
      <c r="E3">
        <v>5.5</v>
      </c>
      <c r="F3">
        <v>0.5</v>
      </c>
      <c r="G3">
        <v>10.8689926372</v>
      </c>
      <c r="H3">
        <v>0</v>
      </c>
      <c r="I3">
        <v>4.3242277889800684</v>
      </c>
      <c r="J3">
        <v>1.8400969314808803E-3</v>
      </c>
      <c r="K3">
        <v>21.805148638048429</v>
      </c>
      <c r="L3">
        <v>0.64311387755256766</v>
      </c>
      <c r="M3">
        <v>4.6002423287022004E-2</v>
      </c>
      <c r="N3">
        <f>((Table13[[#This Row],[Fat Amount (nM)]]-Table13[[#This Row],[Media NEFA (umol/g of protein)]])/Table13[[#This Row],[Fat Amount (nM)]])*100</f>
        <v>97.274356420243947</v>
      </c>
      <c r="O3">
        <f>Table13[[#This Row],[Media TAG (umol/g of protein)]]/Table13[[#This Row],[ApoB (mg/mg of protein)]]</f>
        <v>2350</v>
      </c>
    </row>
    <row r="4" spans="1:15" x14ac:dyDescent="0.25">
      <c r="A4">
        <v>2</v>
      </c>
      <c r="B4">
        <v>2</v>
      </c>
      <c r="C4" t="s">
        <v>37</v>
      </c>
      <c r="D4">
        <v>800</v>
      </c>
      <c r="E4">
        <v>5.5</v>
      </c>
      <c r="F4">
        <v>0.5</v>
      </c>
      <c r="G4">
        <v>9.5658290743666665</v>
      </c>
      <c r="H4">
        <v>0</v>
      </c>
      <c r="I4">
        <v>5.6450935491522181</v>
      </c>
      <c r="J4">
        <v>2.0907753885748954E-3</v>
      </c>
      <c r="K4">
        <v>33.45240621719833</v>
      </c>
      <c r="L4">
        <v>0.82690166618137118</v>
      </c>
      <c r="M4">
        <v>7.3177138600121344E-2</v>
      </c>
      <c r="N4">
        <f>((Table13[[#This Row],[Fat Amount (nM)]]-Table13[[#This Row],[Media NEFA (umol/g of protein)]])/Table13[[#This Row],[Fat Amount (nM)]])*100</f>
        <v>95.818449222850205</v>
      </c>
      <c r="O4">
        <f>Table13[[#This Row],[Media TAG (umol/g of protein)]]/Table13[[#This Row],[ApoB (mg/mg of protein)]]</f>
        <v>2700.0000000000005</v>
      </c>
    </row>
    <row r="5" spans="1:15" x14ac:dyDescent="0.25">
      <c r="A5">
        <v>2</v>
      </c>
      <c r="B5">
        <v>5</v>
      </c>
      <c r="C5" t="s">
        <v>14</v>
      </c>
      <c r="D5">
        <v>0</v>
      </c>
      <c r="E5">
        <v>5.5</v>
      </c>
      <c r="F5">
        <v>0.5</v>
      </c>
      <c r="G5">
        <v>9.9113870719333335</v>
      </c>
      <c r="H5">
        <v>0.90804646561386315</v>
      </c>
      <c r="I5">
        <v>0.80715241387898951</v>
      </c>
      <c r="J5">
        <v>2.0178810346974736E-3</v>
      </c>
      <c r="K5">
        <v>0.30268215520462105</v>
      </c>
      <c r="L5">
        <v>0.52565800953869191</v>
      </c>
      <c r="M5">
        <v>0.10089405173487369</v>
      </c>
      <c r="O5">
        <f>Table13[[#This Row],[Media TAG (umol/g of protein)]]/Table13[[#This Row],[ApoB (mg/mg of protein)]]</f>
        <v>400</v>
      </c>
    </row>
    <row r="6" spans="1:15" x14ac:dyDescent="0.25">
      <c r="A6">
        <v>2</v>
      </c>
      <c r="B6">
        <v>5</v>
      </c>
      <c r="C6" t="s">
        <v>36</v>
      </c>
      <c r="D6">
        <v>800</v>
      </c>
      <c r="E6">
        <v>5.5</v>
      </c>
      <c r="F6">
        <v>0.5</v>
      </c>
      <c r="G6">
        <v>10.8689926372</v>
      </c>
      <c r="H6">
        <v>0.64403392601830811</v>
      </c>
      <c r="I6">
        <v>3.1281647835174966</v>
      </c>
      <c r="J6">
        <v>9.2004846574044016E-4</v>
      </c>
      <c r="K6">
        <v>13.98473667925469</v>
      </c>
      <c r="L6">
        <v>0.23553240722955268</v>
      </c>
      <c r="M6">
        <v>5.5202907944426408E-2</v>
      </c>
      <c r="N6">
        <f>((Table13[[#This Row],[Fat Amount (nM)]]-Table13[[#This Row],[Media NEFA (umol/g of protein)]])/Table13[[#This Row],[Fat Amount (nM)]])*100</f>
        <v>98.25190791509317</v>
      </c>
      <c r="O6">
        <f>Table13[[#This Row],[Media TAG (umol/g of protein)]]/Table13[[#This Row],[ApoB (mg/mg of protein)]]</f>
        <v>3400</v>
      </c>
    </row>
    <row r="7" spans="1:15" x14ac:dyDescent="0.25">
      <c r="A7">
        <v>2</v>
      </c>
      <c r="B7">
        <v>5</v>
      </c>
      <c r="C7" t="s">
        <v>37</v>
      </c>
      <c r="D7">
        <v>800</v>
      </c>
      <c r="E7">
        <v>5.5</v>
      </c>
      <c r="F7">
        <v>0.5</v>
      </c>
      <c r="G7">
        <v>9.5658290743666665</v>
      </c>
      <c r="H7">
        <v>0.20907753885748956</v>
      </c>
      <c r="I7">
        <v>3.8679344688635569</v>
      </c>
      <c r="J7">
        <v>2.0907753885748954E-3</v>
      </c>
      <c r="K7">
        <v>30.316243134335984</v>
      </c>
      <c r="L7">
        <v>0.36484030530631928</v>
      </c>
      <c r="M7">
        <v>6.2723261657246857E-2</v>
      </c>
      <c r="N7">
        <f>((Table13[[#This Row],[Fat Amount (nM)]]-Table13[[#This Row],[Media NEFA (umol/g of protein)]])/Table13[[#This Row],[Fat Amount (nM)]])*100</f>
        <v>96.210469608208001</v>
      </c>
      <c r="O7">
        <f>Table13[[#This Row],[Media TAG (umol/g of protein)]]/Table13[[#This Row],[ApoB (mg/mg of protein)]]</f>
        <v>1850.0000000000002</v>
      </c>
    </row>
    <row r="8" spans="1:15" x14ac:dyDescent="0.25">
      <c r="A8">
        <v>2</v>
      </c>
      <c r="B8">
        <v>7</v>
      </c>
      <c r="C8" t="s">
        <v>14</v>
      </c>
      <c r="D8">
        <v>0</v>
      </c>
      <c r="E8">
        <v>5.5</v>
      </c>
      <c r="F8">
        <v>0.5</v>
      </c>
      <c r="G8">
        <v>9.9113870719333335</v>
      </c>
      <c r="H8">
        <v>1.1098345690836107</v>
      </c>
      <c r="I8">
        <v>1.7151988794928528</v>
      </c>
      <c r="J8">
        <v>2.0178810346974736E-3</v>
      </c>
      <c r="K8">
        <v>0.30268215520462105</v>
      </c>
      <c r="L8">
        <v>0.52162224746929697</v>
      </c>
      <c r="M8">
        <v>0.11098345690836106</v>
      </c>
      <c r="O8">
        <f>Table13[[#This Row],[Media TAG (umol/g of protein)]]/Table13[[#This Row],[ApoB (mg/mg of protein)]]</f>
        <v>850.00000000000011</v>
      </c>
    </row>
    <row r="9" spans="1:15" x14ac:dyDescent="0.25">
      <c r="A9">
        <v>2</v>
      </c>
      <c r="B9">
        <v>7</v>
      </c>
      <c r="C9" t="s">
        <v>36</v>
      </c>
      <c r="D9">
        <v>800</v>
      </c>
      <c r="E9">
        <v>5.5</v>
      </c>
      <c r="F9">
        <v>0.5</v>
      </c>
      <c r="G9">
        <v>10.8689926372</v>
      </c>
      <c r="H9">
        <v>1.2880678520366162</v>
      </c>
      <c r="I9">
        <v>2.1161114712030122</v>
      </c>
      <c r="J9">
        <v>1.8400969314808803E-3</v>
      </c>
      <c r="K9">
        <v>6.716353799905213</v>
      </c>
      <c r="L9">
        <v>0.2585336188730637</v>
      </c>
      <c r="M9">
        <v>7.3603877259235215E-2</v>
      </c>
      <c r="N9">
        <f>((Table13[[#This Row],[Fat Amount (nM)]]-Table13[[#This Row],[Media NEFA (umol/g of protein)]])/Table13[[#This Row],[Fat Amount (nM)]])*100</f>
        <v>99.160455775011854</v>
      </c>
      <c r="O9">
        <f>Table13[[#This Row],[Media TAG (umol/g of protein)]]/Table13[[#This Row],[ApoB (mg/mg of protein)]]</f>
        <v>1150</v>
      </c>
    </row>
    <row r="10" spans="1:15" x14ac:dyDescent="0.25">
      <c r="A10">
        <v>2</v>
      </c>
      <c r="B10">
        <v>7</v>
      </c>
      <c r="C10" t="s">
        <v>37</v>
      </c>
      <c r="D10">
        <v>800</v>
      </c>
      <c r="E10">
        <v>5.5</v>
      </c>
      <c r="F10">
        <v>0.5</v>
      </c>
      <c r="G10">
        <v>9.5658290743666665</v>
      </c>
      <c r="H10">
        <v>1.5680815414311715</v>
      </c>
      <c r="I10">
        <v>3.7633956994348119</v>
      </c>
      <c r="J10">
        <v>2.0907753885748954E-3</v>
      </c>
      <c r="K10">
        <v>18.398823419459081</v>
      </c>
      <c r="L10">
        <v>0.4442897700721653</v>
      </c>
      <c r="M10">
        <v>6.2723261657246857E-2</v>
      </c>
      <c r="N10">
        <f>((Table13[[#This Row],[Fat Amount (nM)]]-Table13[[#This Row],[Media NEFA (umol/g of protein)]])/Table13[[#This Row],[Fat Amount (nM)]])*100</f>
        <v>97.700147072567617</v>
      </c>
      <c r="O10">
        <f>Table13[[#This Row],[Media TAG (umol/g of protein)]]/Table13[[#This Row],[ApoB (mg/mg of protein)]]</f>
        <v>1800.0000000000002</v>
      </c>
    </row>
    <row r="11" spans="1:15" x14ac:dyDescent="0.25">
      <c r="A11">
        <v>3</v>
      </c>
      <c r="B11">
        <v>2</v>
      </c>
      <c r="C11" t="s">
        <v>14</v>
      </c>
      <c r="D11">
        <v>0</v>
      </c>
      <c r="E11">
        <v>5.5</v>
      </c>
      <c r="F11">
        <v>0.5</v>
      </c>
      <c r="G11">
        <v>9.6064679761333327</v>
      </c>
      <c r="H11">
        <v>0.20819306377420657</v>
      </c>
      <c r="I11">
        <v>2.0819306377420657</v>
      </c>
      <c r="J11">
        <v>2.0819306377420658E-3</v>
      </c>
      <c r="K11">
        <v>0.52048265943551641</v>
      </c>
      <c r="L11">
        <v>0.9014759661423144</v>
      </c>
      <c r="M11">
        <v>6.2457919132261966E-2</v>
      </c>
      <c r="O11">
        <f>Table13[[#This Row],[Media TAG (umol/g of protein)]]/Table13[[#This Row],[ApoB (mg/mg of protein)]]</f>
        <v>999.99999999999989</v>
      </c>
    </row>
    <row r="12" spans="1:15" x14ac:dyDescent="0.25">
      <c r="A12">
        <v>3</v>
      </c>
      <c r="B12">
        <v>2</v>
      </c>
      <c r="C12" t="s">
        <v>36</v>
      </c>
      <c r="D12">
        <v>800</v>
      </c>
      <c r="E12">
        <v>5.5</v>
      </c>
      <c r="F12">
        <v>0.5</v>
      </c>
      <c r="G12">
        <v>12.089459591799999</v>
      </c>
      <c r="H12">
        <v>0.24815004981983071</v>
      </c>
      <c r="I12">
        <v>4.5494175800302301</v>
      </c>
      <c r="J12">
        <v>1.6543336654655382E-3</v>
      </c>
      <c r="K12">
        <v>34.741006974776298</v>
      </c>
      <c r="L12">
        <v>0.62947395970963727</v>
      </c>
      <c r="M12">
        <v>3.3086673309310762E-2</v>
      </c>
      <c r="N12">
        <f>((Table13[[#This Row],[Fat Amount (nM)]]-Table13[[#This Row],[Media NEFA (umol/g of protein)]])/Table13[[#This Row],[Fat Amount (nM)]])*100</f>
        <v>95.657374128152966</v>
      </c>
      <c r="O12">
        <f>Table13[[#This Row],[Media TAG (umol/g of protein)]]/Table13[[#This Row],[ApoB (mg/mg of protein)]]</f>
        <v>2750</v>
      </c>
    </row>
    <row r="13" spans="1:15" x14ac:dyDescent="0.25">
      <c r="A13">
        <v>3</v>
      </c>
      <c r="B13">
        <v>2</v>
      </c>
      <c r="C13" t="s">
        <v>37</v>
      </c>
      <c r="D13">
        <v>800</v>
      </c>
      <c r="E13">
        <v>5.5</v>
      </c>
      <c r="F13">
        <v>0.5</v>
      </c>
      <c r="G13">
        <v>9.8181311856999987</v>
      </c>
      <c r="H13">
        <v>0.40740950842314638</v>
      </c>
      <c r="I13">
        <v>5.7037331179240498</v>
      </c>
      <c r="J13">
        <v>2.0370475421157322E-3</v>
      </c>
      <c r="K13">
        <v>56.93547880213471</v>
      </c>
      <c r="L13">
        <v>0.80565230290677203</v>
      </c>
      <c r="M13">
        <v>6.1111426263471956E-2</v>
      </c>
      <c r="N13">
        <f>((Table13[[#This Row],[Fat Amount (nM)]]-Table13[[#This Row],[Media NEFA (umol/g of protein)]])/Table13[[#This Row],[Fat Amount (nM)]])*100</f>
        <v>92.883065149733156</v>
      </c>
      <c r="O13">
        <f>Table13[[#This Row],[Media TAG (umol/g of protein)]]/Table13[[#This Row],[ApoB (mg/mg of protein)]]</f>
        <v>2799.9999999999995</v>
      </c>
    </row>
    <row r="14" spans="1:15" x14ac:dyDescent="0.25">
      <c r="A14">
        <v>3</v>
      </c>
      <c r="B14">
        <v>5</v>
      </c>
      <c r="C14" t="s">
        <v>14</v>
      </c>
      <c r="D14">
        <v>0</v>
      </c>
      <c r="E14">
        <v>5.5</v>
      </c>
      <c r="F14">
        <v>0.5</v>
      </c>
      <c r="G14">
        <v>9.6064679761333327</v>
      </c>
      <c r="H14">
        <v>0.62457919132261974</v>
      </c>
      <c r="I14">
        <v>0.83277225509682629</v>
      </c>
      <c r="J14">
        <v>1.0409653188710329E-3</v>
      </c>
      <c r="K14">
        <v>0.41638612754841314</v>
      </c>
      <c r="L14">
        <v>0.66725876939633211</v>
      </c>
      <c r="M14">
        <v>8.3277225509682626E-2</v>
      </c>
      <c r="O14">
        <f>Table13[[#This Row],[Media TAG (umol/g of protein)]]/Table13[[#This Row],[ApoB (mg/mg of protein)]]</f>
        <v>800</v>
      </c>
    </row>
    <row r="15" spans="1:15" x14ac:dyDescent="0.25">
      <c r="A15">
        <v>3</v>
      </c>
      <c r="B15">
        <v>5</v>
      </c>
      <c r="C15" t="s">
        <v>36</v>
      </c>
      <c r="D15">
        <v>800</v>
      </c>
      <c r="E15">
        <v>5.5</v>
      </c>
      <c r="F15">
        <v>0.5</v>
      </c>
      <c r="G15">
        <v>12.089459591799999</v>
      </c>
      <c r="H15">
        <v>0</v>
      </c>
      <c r="I15">
        <v>4.3012675302103993</v>
      </c>
      <c r="J15">
        <v>8.2716683273276908E-4</v>
      </c>
      <c r="K15">
        <v>18.280387003394196</v>
      </c>
      <c r="L15">
        <v>0.34244706875136638</v>
      </c>
      <c r="M15">
        <v>4.9630009963966139E-2</v>
      </c>
      <c r="N15">
        <f>((Table13[[#This Row],[Fat Amount (nM)]]-Table13[[#This Row],[Media NEFA (umol/g of protein)]])/Table13[[#This Row],[Fat Amount (nM)]])*100</f>
        <v>97.714951624575718</v>
      </c>
      <c r="O15">
        <f>Table13[[#This Row],[Media TAG (umol/g of protein)]]/Table13[[#This Row],[ApoB (mg/mg of protein)]]</f>
        <v>5200</v>
      </c>
    </row>
    <row r="16" spans="1:15" x14ac:dyDescent="0.25">
      <c r="A16">
        <v>3</v>
      </c>
      <c r="B16">
        <v>5</v>
      </c>
      <c r="C16" t="s">
        <v>37</v>
      </c>
      <c r="D16">
        <v>800</v>
      </c>
      <c r="E16">
        <v>5.5</v>
      </c>
      <c r="F16">
        <v>0.5</v>
      </c>
      <c r="G16">
        <v>9.8181311856999987</v>
      </c>
      <c r="H16">
        <v>0</v>
      </c>
      <c r="I16">
        <v>5.3981759866066898</v>
      </c>
      <c r="J16">
        <v>2.0370475421157322E-3</v>
      </c>
      <c r="K16">
        <v>34.629808215967444</v>
      </c>
      <c r="L16">
        <v>0.55000283637124769</v>
      </c>
      <c r="M16">
        <v>8.1481901684629279E-2</v>
      </c>
      <c r="N16">
        <f>((Table13[[#This Row],[Fat Amount (nM)]]-Table13[[#This Row],[Media NEFA (umol/g of protein)]])/Table13[[#This Row],[Fat Amount (nM)]])*100</f>
        <v>95.671273973004077</v>
      </c>
      <c r="O16">
        <f>Table13[[#This Row],[Media TAG (umol/g of protein)]]/Table13[[#This Row],[ApoB (mg/mg of protein)]]</f>
        <v>2649.9999999999995</v>
      </c>
    </row>
    <row r="17" spans="1:15" x14ac:dyDescent="0.25">
      <c r="A17">
        <v>3</v>
      </c>
      <c r="B17">
        <v>7</v>
      </c>
      <c r="C17" t="s">
        <v>14</v>
      </c>
      <c r="D17">
        <v>0</v>
      </c>
      <c r="E17">
        <v>5.5</v>
      </c>
      <c r="F17">
        <v>0.5</v>
      </c>
      <c r="G17">
        <v>9.6064679761333327</v>
      </c>
      <c r="H17">
        <v>0.10409653188710329</v>
      </c>
      <c r="I17">
        <v>1.2491583826452395</v>
      </c>
      <c r="J17">
        <v>2.0819306377420658E-3</v>
      </c>
      <c r="K17">
        <v>0.52048265943551641</v>
      </c>
      <c r="L17">
        <v>0.68287324917939751</v>
      </c>
      <c r="M17">
        <v>9.3686878698392956E-2</v>
      </c>
      <c r="O17">
        <f>Table13[[#This Row],[Media TAG (umol/g of protein)]]/Table13[[#This Row],[ApoB (mg/mg of protein)]]</f>
        <v>600</v>
      </c>
    </row>
    <row r="18" spans="1:15" x14ac:dyDescent="0.25">
      <c r="A18">
        <v>3</v>
      </c>
      <c r="B18">
        <v>7</v>
      </c>
      <c r="C18" t="s">
        <v>36</v>
      </c>
      <c r="D18">
        <v>800</v>
      </c>
      <c r="E18">
        <v>5.5</v>
      </c>
      <c r="F18">
        <v>0.5</v>
      </c>
      <c r="G18">
        <v>12.089459591799999</v>
      </c>
      <c r="H18">
        <v>0.74445014945949217</v>
      </c>
      <c r="I18">
        <v>2.0679170818319226</v>
      </c>
      <c r="J18">
        <v>1.6543336654655382E-3</v>
      </c>
      <c r="K18">
        <v>10.835885508799274</v>
      </c>
      <c r="L18">
        <v>0.41689208369731562</v>
      </c>
      <c r="M18">
        <v>4.135834163663845E-2</v>
      </c>
      <c r="N18">
        <f>((Table13[[#This Row],[Fat Amount (nM)]]-Table13[[#This Row],[Media NEFA (umol/g of protein)]])/Table13[[#This Row],[Fat Amount (nM)]])*100</f>
        <v>98.645514311400092</v>
      </c>
      <c r="O18">
        <f>Table13[[#This Row],[Media TAG (umol/g of protein)]]/Table13[[#This Row],[ApoB (mg/mg of protein)]]</f>
        <v>1250</v>
      </c>
    </row>
    <row r="19" spans="1:15" x14ac:dyDescent="0.25">
      <c r="A19">
        <v>3</v>
      </c>
      <c r="B19">
        <v>7</v>
      </c>
      <c r="C19" t="s">
        <v>37</v>
      </c>
      <c r="D19">
        <v>800</v>
      </c>
      <c r="E19">
        <v>5.5</v>
      </c>
      <c r="F19">
        <v>0.5</v>
      </c>
      <c r="G19">
        <v>9.8181311856999987</v>
      </c>
      <c r="H19">
        <v>0.81481901684629277</v>
      </c>
      <c r="I19">
        <v>2.4444570505388783</v>
      </c>
      <c r="J19">
        <v>2.0370475421157322E-3</v>
      </c>
      <c r="K19">
        <v>20.37047542115732</v>
      </c>
      <c r="L19">
        <v>0.59889197738202515</v>
      </c>
      <c r="M19">
        <v>6.1111426263471956E-2</v>
      </c>
      <c r="N19">
        <f>((Table13[[#This Row],[Fat Amount (nM)]]-Table13[[#This Row],[Media NEFA (umol/g of protein)]])/Table13[[#This Row],[Fat Amount (nM)]])*100</f>
        <v>97.453690572355342</v>
      </c>
      <c r="O19">
        <f>Table13[[#This Row],[Media TAG (umol/g of protein)]]/Table13[[#This Row],[ApoB (mg/mg of protein)]]</f>
        <v>1199.9999999999998</v>
      </c>
    </row>
    <row r="20" spans="1:15" x14ac:dyDescent="0.25">
      <c r="A20">
        <v>1</v>
      </c>
      <c r="B20">
        <v>2</v>
      </c>
      <c r="C20" t="s">
        <v>14</v>
      </c>
      <c r="D20">
        <v>0</v>
      </c>
      <c r="E20">
        <v>5.5</v>
      </c>
      <c r="F20">
        <v>0.5</v>
      </c>
      <c r="G20">
        <v>10.162621616391666</v>
      </c>
      <c r="H20">
        <v>0.30411301991047318</v>
      </c>
      <c r="I20">
        <v>0</v>
      </c>
      <c r="J20">
        <v>4.5799617737937091E-4</v>
      </c>
      <c r="K20">
        <v>0.68423293901605453</v>
      </c>
      <c r="L20">
        <v>0.92990444042714471</v>
      </c>
      <c r="M20">
        <v>0.13577929464762731</v>
      </c>
      <c r="O20">
        <f>Table13[[#This Row],[Media TAG (umol/g of protein)]]/Table13[[#This Row],[ApoB (mg/mg of protein)]]</f>
        <v>0</v>
      </c>
    </row>
    <row r="21" spans="1:15" x14ac:dyDescent="0.25">
      <c r="A21">
        <v>1</v>
      </c>
      <c r="B21">
        <v>2</v>
      </c>
      <c r="C21" t="s">
        <v>36</v>
      </c>
      <c r="D21">
        <v>800</v>
      </c>
      <c r="E21">
        <v>5.5</v>
      </c>
      <c r="F21">
        <v>0.5</v>
      </c>
      <c r="G21">
        <v>12.363647587478333</v>
      </c>
      <c r="H21">
        <v>0</v>
      </c>
      <c r="I21">
        <v>2.2871103716085859</v>
      </c>
      <c r="J21">
        <v>2.7014607193443473E-4</v>
      </c>
      <c r="K21">
        <v>26.463951601714715</v>
      </c>
      <c r="L21">
        <v>0.65985129789238572</v>
      </c>
      <c r="M21">
        <v>0.10513879510871627</v>
      </c>
      <c r="N21">
        <f>((Table13[[#This Row],[Fat Amount (nM)]]-Table13[[#This Row],[Media NEFA (umol/g of protein)]])/Table13[[#This Row],[Fat Amount (nM)]])*100</f>
        <v>96.692006049785661</v>
      </c>
      <c r="O21">
        <f>Table13[[#This Row],[Media TAG (umol/g of protein)]]/Table13[[#This Row],[ApoB (mg/mg of protein)]]</f>
        <v>8466.198879855172</v>
      </c>
    </row>
    <row r="22" spans="1:15" x14ac:dyDescent="0.25">
      <c r="A22">
        <v>1</v>
      </c>
      <c r="B22">
        <v>2</v>
      </c>
      <c r="C22" t="s">
        <v>37</v>
      </c>
      <c r="D22">
        <v>800</v>
      </c>
      <c r="E22">
        <v>5.5</v>
      </c>
      <c r="F22">
        <v>0.5</v>
      </c>
      <c r="G22">
        <v>9.0126186427233339</v>
      </c>
      <c r="H22">
        <v>8.0618540197027494E-2</v>
      </c>
      <c r="I22">
        <v>3.2615805508895739</v>
      </c>
      <c r="J22">
        <v>3.694406744294517E-4</v>
      </c>
      <c r="K22">
        <v>47.403594474011214</v>
      </c>
      <c r="L22">
        <v>0.93418917606423169</v>
      </c>
      <c r="M22">
        <v>0.14739624815039643</v>
      </c>
      <c r="N22">
        <f>((Table13[[#This Row],[Fat Amount (nM)]]-Table13[[#This Row],[Media NEFA (umol/g of protein)]])/Table13[[#This Row],[Fat Amount (nM)]])*100</f>
        <v>94.074550690748595</v>
      </c>
      <c r="O22">
        <f>Table13[[#This Row],[Media TAG (umol/g of protein)]]/Table13[[#This Row],[ApoB (mg/mg of protein)]]</f>
        <v>8828.4284233906255</v>
      </c>
    </row>
    <row r="23" spans="1:15" x14ac:dyDescent="0.25">
      <c r="A23">
        <v>1</v>
      </c>
      <c r="B23">
        <v>5</v>
      </c>
      <c r="C23" t="s">
        <v>14</v>
      </c>
      <c r="D23">
        <v>0</v>
      </c>
      <c r="E23">
        <v>5.5</v>
      </c>
      <c r="F23">
        <v>0.5</v>
      </c>
      <c r="G23">
        <v>10.162621616391666</v>
      </c>
      <c r="H23">
        <v>0.39587485972588815</v>
      </c>
      <c r="I23">
        <v>0</v>
      </c>
      <c r="J23">
        <v>3.3051953630410576E-4</v>
      </c>
      <c r="K23">
        <v>0.733843999708785</v>
      </c>
      <c r="L23">
        <v>0.4182215881840663</v>
      </c>
      <c r="M23">
        <v>0.19414284395259931</v>
      </c>
      <c r="O23">
        <f>Table13[[#This Row],[Media TAG (umol/g of protein)]]/Table13[[#This Row],[ApoB (mg/mg of protein)]]</f>
        <v>0</v>
      </c>
    </row>
    <row r="24" spans="1:15" x14ac:dyDescent="0.25">
      <c r="A24">
        <v>1</v>
      </c>
      <c r="B24">
        <v>5</v>
      </c>
      <c r="C24" t="s">
        <v>36</v>
      </c>
      <c r="D24">
        <v>800</v>
      </c>
      <c r="E24">
        <v>5.5</v>
      </c>
      <c r="F24">
        <v>0.5</v>
      </c>
      <c r="G24">
        <v>12.363647587478333</v>
      </c>
      <c r="H24">
        <v>0.21577906863204119</v>
      </c>
      <c r="I24">
        <v>1.1942403644762798</v>
      </c>
      <c r="J24">
        <v>2.4269072275695012E-4</v>
      </c>
      <c r="K24">
        <v>12.034660452085456</v>
      </c>
      <c r="L24">
        <v>0.19252700505701403</v>
      </c>
      <c r="M24">
        <v>0.12131817662584628</v>
      </c>
      <c r="N24">
        <f>((Table13[[#This Row],[Fat Amount (nM)]]-Table13[[#This Row],[Media NEFA (umol/g of protein)]])/Table13[[#This Row],[Fat Amount (nM)]])*100</f>
        <v>98.495667443489324</v>
      </c>
      <c r="O24">
        <f>Table13[[#This Row],[Media TAG (umol/g of protein)]]/Table13[[#This Row],[ApoB (mg/mg of protein)]]</f>
        <v>4920.8323701449744</v>
      </c>
    </row>
    <row r="25" spans="1:15" x14ac:dyDescent="0.25">
      <c r="A25">
        <v>1</v>
      </c>
      <c r="B25">
        <v>5</v>
      </c>
      <c r="C25" t="s">
        <v>37</v>
      </c>
      <c r="D25">
        <v>800</v>
      </c>
      <c r="E25">
        <v>5.5</v>
      </c>
      <c r="F25">
        <v>0.5</v>
      </c>
      <c r="G25">
        <v>9.0126186427233339</v>
      </c>
      <c r="H25">
        <v>0.12472802650938357</v>
      </c>
      <c r="I25">
        <v>1.9838229121356552</v>
      </c>
      <c r="J25">
        <v>3.382586678021058E-4</v>
      </c>
      <c r="K25">
        <v>40.464803585816107</v>
      </c>
      <c r="L25">
        <v>0.39633706413360664</v>
      </c>
      <c r="M25">
        <v>0.18846647684749251</v>
      </c>
      <c r="N25">
        <f>((Table13[[#This Row],[Fat Amount (nM)]]-Table13[[#This Row],[Media NEFA (umol/g of protein)]])/Table13[[#This Row],[Fat Amount (nM)]])*100</f>
        <v>94.941899551772991</v>
      </c>
      <c r="O25">
        <f>Table13[[#This Row],[Media TAG (umol/g of protein)]]/Table13[[#This Row],[ApoB (mg/mg of protein)]]</f>
        <v>5864.8102797361789</v>
      </c>
    </row>
    <row r="26" spans="1:15" x14ac:dyDescent="0.25">
      <c r="A26">
        <v>1</v>
      </c>
      <c r="B26">
        <v>7</v>
      </c>
      <c r="C26" t="s">
        <v>14</v>
      </c>
      <c r="D26">
        <v>0</v>
      </c>
      <c r="E26">
        <v>5.5</v>
      </c>
      <c r="F26">
        <v>0.5</v>
      </c>
      <c r="G26">
        <v>10.162621616391666</v>
      </c>
      <c r="H26">
        <v>0.65827774555520968</v>
      </c>
      <c r="I26">
        <v>0</v>
      </c>
      <c r="J26">
        <v>5.4515936473686791E-4</v>
      </c>
      <c r="K26">
        <v>0.55951762499379121</v>
      </c>
      <c r="L26">
        <v>0.45401926981255364</v>
      </c>
      <c r="M26">
        <v>0.18157891238556442</v>
      </c>
      <c r="O26">
        <f>Table13[[#This Row],[Media TAG (umol/g of protein)]]/Table13[[#This Row],[ApoB (mg/mg of protein)]]</f>
        <v>0</v>
      </c>
    </row>
    <row r="27" spans="1:15" x14ac:dyDescent="0.25">
      <c r="A27">
        <v>1</v>
      </c>
      <c r="B27">
        <v>7</v>
      </c>
      <c r="C27" t="s">
        <v>36</v>
      </c>
      <c r="D27">
        <v>800</v>
      </c>
      <c r="E27">
        <v>5.5</v>
      </c>
      <c r="F27">
        <v>0.5</v>
      </c>
      <c r="G27">
        <v>12.363647587478333</v>
      </c>
      <c r="H27">
        <v>1.1899718917104662</v>
      </c>
      <c r="I27">
        <v>0.26944967694519811</v>
      </c>
      <c r="J27">
        <v>3.7762783496102362E-4</v>
      </c>
      <c r="K27">
        <v>9.791519048914946</v>
      </c>
      <c r="L27">
        <v>0.18648032134690928</v>
      </c>
      <c r="M27">
        <v>0.12140522599950086</v>
      </c>
      <c r="N27">
        <f>((Table13[[#This Row],[Fat Amount (nM)]]-Table13[[#This Row],[Media NEFA (umol/g of protein)]])/Table13[[#This Row],[Fat Amount (nM)]])*100</f>
        <v>98.776060118885638</v>
      </c>
      <c r="O27">
        <f>Table13[[#This Row],[Media TAG (umol/g of protein)]]/Table13[[#This Row],[ApoB (mg/mg of protein)]]</f>
        <v>713.5323511652922</v>
      </c>
    </row>
    <row r="28" spans="1:15" x14ac:dyDescent="0.25">
      <c r="A28">
        <v>1</v>
      </c>
      <c r="B28">
        <v>7</v>
      </c>
      <c r="C28" t="s">
        <v>37</v>
      </c>
      <c r="D28">
        <v>800</v>
      </c>
      <c r="E28">
        <v>5.5</v>
      </c>
      <c r="F28">
        <v>0.5</v>
      </c>
      <c r="G28">
        <v>9.0126186427233339</v>
      </c>
      <c r="H28">
        <v>0.32189967218762194</v>
      </c>
      <c r="I28">
        <v>1.08142160708695</v>
      </c>
      <c r="J28">
        <v>7.1777894814572054E-4</v>
      </c>
      <c r="K28">
        <v>27.83647998787082</v>
      </c>
      <c r="L28">
        <v>0.39289374144174366</v>
      </c>
      <c r="M28">
        <v>0.19892427367141211</v>
      </c>
      <c r="N28">
        <f>((Table13[[#This Row],[Fat Amount (nM)]]-Table13[[#This Row],[Media NEFA (umol/g of protein)]])/Table13[[#This Row],[Fat Amount (nM)]])*100</f>
        <v>96.52044000151615</v>
      </c>
      <c r="O28">
        <f>Table13[[#This Row],[Media TAG (umol/g of protein)]]/Table13[[#This Row],[ApoB (mg/mg of protein)]]</f>
        <v>1506.6220733843593</v>
      </c>
    </row>
  </sheetData>
  <conditionalFormatting sqref="H1:M1">
    <cfRule type="cellIs" dxfId="3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3E6E-1AE1-41B4-AE67-A0FDBE3CC47E}">
  <dimension ref="A1:O28"/>
  <sheetViews>
    <sheetView workbookViewId="0">
      <selection activeCell="C2" sqref="C2:C28"/>
    </sheetView>
  </sheetViews>
  <sheetFormatPr defaultRowHeight="15" x14ac:dyDescent="0.25"/>
  <sheetData>
    <row r="1" spans="1:15" x14ac:dyDescent="0.25">
      <c r="A1" t="s">
        <v>0</v>
      </c>
      <c r="B1" t="s">
        <v>34</v>
      </c>
      <c r="C1" t="s">
        <v>32</v>
      </c>
      <c r="D1" t="s">
        <v>17</v>
      </c>
      <c r="E1" t="s">
        <v>2</v>
      </c>
      <c r="F1" t="s">
        <v>3</v>
      </c>
      <c r="G1" t="s">
        <v>5</v>
      </c>
      <c r="H1" t="s">
        <v>26</v>
      </c>
      <c r="I1" t="s">
        <v>27</v>
      </c>
      <c r="J1" t="s">
        <v>35</v>
      </c>
      <c r="K1" t="s">
        <v>28</v>
      </c>
      <c r="L1" t="s">
        <v>29</v>
      </c>
      <c r="M1" t="s">
        <v>30</v>
      </c>
      <c r="N1" t="s">
        <v>31</v>
      </c>
      <c r="O1" t="s">
        <v>25</v>
      </c>
    </row>
    <row r="2" spans="1:15" x14ac:dyDescent="0.25">
      <c r="A2">
        <v>2</v>
      </c>
      <c r="B2">
        <v>2</v>
      </c>
      <c r="C2" t="s">
        <v>14</v>
      </c>
      <c r="D2">
        <v>0</v>
      </c>
      <c r="E2">
        <v>5.5</v>
      </c>
      <c r="F2">
        <v>0.5</v>
      </c>
      <c r="G2">
        <v>9.9113870719333335</v>
      </c>
      <c r="H2">
        <v>0</v>
      </c>
      <c r="I2">
        <v>1.1098345690836107</v>
      </c>
      <c r="J2">
        <v>1.0089405173487368E-3</v>
      </c>
      <c r="K2">
        <v>0.50447025867436845</v>
      </c>
      <c r="L2">
        <v>0.80412559232694325</v>
      </c>
      <c r="M2">
        <v>8.0715241387898956E-2</v>
      </c>
      <c r="O2">
        <v>1100.0000000000002</v>
      </c>
    </row>
    <row r="3" spans="1:15" x14ac:dyDescent="0.25">
      <c r="A3">
        <v>2</v>
      </c>
      <c r="B3">
        <v>2</v>
      </c>
      <c r="C3" t="s">
        <v>36</v>
      </c>
      <c r="D3">
        <v>800</v>
      </c>
      <c r="E3">
        <v>5.5</v>
      </c>
      <c r="F3">
        <v>0.5</v>
      </c>
      <c r="G3">
        <v>10.8689926372</v>
      </c>
      <c r="H3">
        <v>0</v>
      </c>
      <c r="I3">
        <v>4.3242277889800684</v>
      </c>
      <c r="J3">
        <v>1.8400969314808803E-3</v>
      </c>
      <c r="K3">
        <v>21.805148638048429</v>
      </c>
      <c r="L3">
        <v>0.64311387755256766</v>
      </c>
      <c r="M3">
        <v>4.6002423287022004E-2</v>
      </c>
      <c r="N3">
        <v>97.274356420243947</v>
      </c>
      <c r="O3">
        <v>2350</v>
      </c>
    </row>
    <row r="4" spans="1:15" x14ac:dyDescent="0.25">
      <c r="A4">
        <v>2</v>
      </c>
      <c r="B4">
        <v>2</v>
      </c>
      <c r="C4" t="s">
        <v>37</v>
      </c>
      <c r="D4">
        <v>800</v>
      </c>
      <c r="E4">
        <v>5.5</v>
      </c>
      <c r="F4">
        <v>0.5</v>
      </c>
      <c r="G4">
        <v>9.5658290743666665</v>
      </c>
      <c r="H4">
        <v>0</v>
      </c>
      <c r="I4">
        <v>5.6450935491522181</v>
      </c>
      <c r="J4">
        <v>2.0907753885748954E-3</v>
      </c>
      <c r="K4">
        <v>33.45240621719833</v>
      </c>
      <c r="L4">
        <v>0.82690166618137118</v>
      </c>
      <c r="M4">
        <v>7.3177138600121344E-2</v>
      </c>
      <c r="N4">
        <v>95.818449222850205</v>
      </c>
      <c r="O4">
        <v>2700.0000000000005</v>
      </c>
    </row>
    <row r="5" spans="1:15" x14ac:dyDescent="0.25">
      <c r="A5">
        <v>2</v>
      </c>
      <c r="B5">
        <v>5</v>
      </c>
      <c r="C5" t="s">
        <v>14</v>
      </c>
      <c r="D5">
        <v>0</v>
      </c>
      <c r="E5">
        <v>5.5</v>
      </c>
      <c r="F5">
        <v>0.5</v>
      </c>
      <c r="G5">
        <v>9.9113870719333335</v>
      </c>
      <c r="H5">
        <v>0.90804646561386315</v>
      </c>
      <c r="I5">
        <v>0.80715241387898951</v>
      </c>
      <c r="J5">
        <v>2.0178810346974736E-3</v>
      </c>
      <c r="K5">
        <v>0.30268215520462105</v>
      </c>
      <c r="L5">
        <v>0.52565800953869191</v>
      </c>
      <c r="M5">
        <v>0.10089405173487369</v>
      </c>
      <c r="O5">
        <v>400</v>
      </c>
    </row>
    <row r="6" spans="1:15" x14ac:dyDescent="0.25">
      <c r="A6">
        <v>2</v>
      </c>
      <c r="B6">
        <v>5</v>
      </c>
      <c r="C6" t="s">
        <v>36</v>
      </c>
      <c r="D6">
        <v>800</v>
      </c>
      <c r="E6">
        <v>5.5</v>
      </c>
      <c r="F6">
        <v>0.5</v>
      </c>
      <c r="G6">
        <v>10.8689926372</v>
      </c>
      <c r="H6">
        <v>0.64403392601830811</v>
      </c>
      <c r="I6">
        <v>3.1281647835174966</v>
      </c>
      <c r="J6">
        <v>9.2004846574044016E-4</v>
      </c>
      <c r="K6">
        <v>13.98473667925469</v>
      </c>
      <c r="L6">
        <v>0.23553240722955268</v>
      </c>
      <c r="M6">
        <v>5.5202907944426408E-2</v>
      </c>
      <c r="N6">
        <v>98.25190791509317</v>
      </c>
      <c r="O6">
        <v>3400</v>
      </c>
    </row>
    <row r="7" spans="1:15" x14ac:dyDescent="0.25">
      <c r="A7">
        <v>2</v>
      </c>
      <c r="B7">
        <v>5</v>
      </c>
      <c r="C7" t="s">
        <v>37</v>
      </c>
      <c r="D7">
        <v>800</v>
      </c>
      <c r="E7">
        <v>5.5</v>
      </c>
      <c r="F7">
        <v>0.5</v>
      </c>
      <c r="G7">
        <v>9.5658290743666665</v>
      </c>
      <c r="H7">
        <v>0.20907753885748956</v>
      </c>
      <c r="I7">
        <v>3.8679344688635569</v>
      </c>
      <c r="J7">
        <v>2.0907753885748954E-3</v>
      </c>
      <c r="K7">
        <v>30.316243134335984</v>
      </c>
      <c r="L7">
        <v>0.36484030530631928</v>
      </c>
      <c r="M7">
        <v>6.2723261657246857E-2</v>
      </c>
      <c r="N7">
        <v>96.210469608208001</v>
      </c>
      <c r="O7">
        <v>1850.0000000000002</v>
      </c>
    </row>
    <row r="8" spans="1:15" x14ac:dyDescent="0.25">
      <c r="A8">
        <v>2</v>
      </c>
      <c r="B8">
        <v>7</v>
      </c>
      <c r="C8" t="s">
        <v>14</v>
      </c>
      <c r="D8">
        <v>0</v>
      </c>
      <c r="E8">
        <v>5.5</v>
      </c>
      <c r="F8">
        <v>0.5</v>
      </c>
      <c r="G8">
        <v>9.9113870719333335</v>
      </c>
      <c r="H8">
        <v>1.1098345690836107</v>
      </c>
      <c r="I8">
        <v>1.7151988794928528</v>
      </c>
      <c r="J8">
        <v>2.0178810346974736E-3</v>
      </c>
      <c r="K8">
        <v>0.30268215520462105</v>
      </c>
      <c r="L8">
        <v>0.52162224746929697</v>
      </c>
      <c r="M8">
        <v>0.11098345690836106</v>
      </c>
      <c r="O8">
        <v>850.00000000000011</v>
      </c>
    </row>
    <row r="9" spans="1:15" x14ac:dyDescent="0.25">
      <c r="A9">
        <v>2</v>
      </c>
      <c r="B9">
        <v>7</v>
      </c>
      <c r="C9" t="s">
        <v>36</v>
      </c>
      <c r="D9">
        <v>800</v>
      </c>
      <c r="E9">
        <v>5.5</v>
      </c>
      <c r="F9">
        <v>0.5</v>
      </c>
      <c r="G9">
        <v>10.8689926372</v>
      </c>
      <c r="H9">
        <v>1.2880678520366162</v>
      </c>
      <c r="I9">
        <v>2.1161114712030122</v>
      </c>
      <c r="J9">
        <v>1.8400969314808803E-3</v>
      </c>
      <c r="K9">
        <v>6.716353799905213</v>
      </c>
      <c r="L9">
        <v>0.2585336188730637</v>
      </c>
      <c r="M9">
        <v>7.3603877259235215E-2</v>
      </c>
      <c r="N9">
        <v>99.160455775011854</v>
      </c>
      <c r="O9">
        <v>1150</v>
      </c>
    </row>
    <row r="10" spans="1:15" x14ac:dyDescent="0.25">
      <c r="A10">
        <v>2</v>
      </c>
      <c r="B10">
        <v>7</v>
      </c>
      <c r="C10" t="s">
        <v>37</v>
      </c>
      <c r="D10">
        <v>800</v>
      </c>
      <c r="E10">
        <v>5.5</v>
      </c>
      <c r="F10">
        <v>0.5</v>
      </c>
      <c r="G10">
        <v>9.5658290743666665</v>
      </c>
      <c r="H10">
        <v>1.5680815414311715</v>
      </c>
      <c r="I10">
        <v>3.7633956994348119</v>
      </c>
      <c r="J10">
        <v>2.0907753885748954E-3</v>
      </c>
      <c r="K10">
        <v>18.398823419459081</v>
      </c>
      <c r="L10">
        <v>0.4442897700721653</v>
      </c>
      <c r="M10">
        <v>6.2723261657246857E-2</v>
      </c>
      <c r="N10">
        <v>97.700147072567617</v>
      </c>
      <c r="O10">
        <v>1800.0000000000002</v>
      </c>
    </row>
    <row r="11" spans="1:15" x14ac:dyDescent="0.25">
      <c r="A11">
        <v>3</v>
      </c>
      <c r="B11">
        <v>2</v>
      </c>
      <c r="C11" t="s">
        <v>14</v>
      </c>
      <c r="D11">
        <v>0</v>
      </c>
      <c r="E11">
        <v>5.5</v>
      </c>
      <c r="F11">
        <v>0.5</v>
      </c>
      <c r="G11">
        <v>9.6064679761333327</v>
      </c>
      <c r="H11">
        <v>0.20819306377420657</v>
      </c>
      <c r="I11">
        <v>2.0819306377420657</v>
      </c>
      <c r="J11">
        <v>2.0819306377420658E-3</v>
      </c>
      <c r="K11">
        <v>0.52048265943551641</v>
      </c>
      <c r="L11">
        <v>0.9014759661423144</v>
      </c>
      <c r="M11">
        <v>6.2457919132261966E-2</v>
      </c>
      <c r="O11">
        <v>999.99999999999989</v>
      </c>
    </row>
    <row r="12" spans="1:15" x14ac:dyDescent="0.25">
      <c r="A12">
        <v>3</v>
      </c>
      <c r="B12">
        <v>2</v>
      </c>
      <c r="C12" t="s">
        <v>36</v>
      </c>
      <c r="D12">
        <v>800</v>
      </c>
      <c r="E12">
        <v>5.5</v>
      </c>
      <c r="F12">
        <v>0.5</v>
      </c>
      <c r="G12">
        <v>12.089459591799999</v>
      </c>
      <c r="H12">
        <v>0.24815004981983071</v>
      </c>
      <c r="I12">
        <v>4.5494175800302301</v>
      </c>
      <c r="J12">
        <v>1.6543336654655382E-3</v>
      </c>
      <c r="K12">
        <v>34.741006974776298</v>
      </c>
      <c r="L12">
        <v>0.62947395970963727</v>
      </c>
      <c r="M12">
        <v>3.3086673309310762E-2</v>
      </c>
      <c r="N12">
        <v>95.657374128152966</v>
      </c>
      <c r="O12">
        <v>2750</v>
      </c>
    </row>
    <row r="13" spans="1:15" x14ac:dyDescent="0.25">
      <c r="A13">
        <v>3</v>
      </c>
      <c r="B13">
        <v>2</v>
      </c>
      <c r="C13" t="s">
        <v>37</v>
      </c>
      <c r="D13">
        <v>800</v>
      </c>
      <c r="E13">
        <v>5.5</v>
      </c>
      <c r="F13">
        <v>0.5</v>
      </c>
      <c r="G13">
        <v>9.8181311856999987</v>
      </c>
      <c r="H13">
        <v>0.40740950842314638</v>
      </c>
      <c r="I13">
        <v>5.7037331179240498</v>
      </c>
      <c r="J13">
        <v>2.0370475421157322E-3</v>
      </c>
      <c r="K13">
        <v>56.93547880213471</v>
      </c>
      <c r="L13">
        <v>0.80565230290677203</v>
      </c>
      <c r="M13">
        <v>6.1111426263471956E-2</v>
      </c>
      <c r="N13">
        <v>92.883065149733156</v>
      </c>
      <c r="O13">
        <v>2799.9999999999995</v>
      </c>
    </row>
    <row r="14" spans="1:15" x14ac:dyDescent="0.25">
      <c r="A14">
        <v>3</v>
      </c>
      <c r="B14">
        <v>5</v>
      </c>
      <c r="C14" t="s">
        <v>14</v>
      </c>
      <c r="D14">
        <v>0</v>
      </c>
      <c r="E14">
        <v>5.5</v>
      </c>
      <c r="F14">
        <v>0.5</v>
      </c>
      <c r="G14">
        <v>9.6064679761333327</v>
      </c>
      <c r="H14">
        <v>0.62457919132261974</v>
      </c>
      <c r="I14">
        <v>0.83277225509682629</v>
      </c>
      <c r="J14">
        <v>1.0409653188710329E-3</v>
      </c>
      <c r="K14">
        <v>0.41638612754841314</v>
      </c>
      <c r="L14">
        <v>0.66725876939633211</v>
      </c>
      <c r="M14">
        <v>8.3277225509682626E-2</v>
      </c>
      <c r="O14">
        <v>800</v>
      </c>
    </row>
    <row r="15" spans="1:15" x14ac:dyDescent="0.25">
      <c r="A15">
        <v>3</v>
      </c>
      <c r="B15">
        <v>5</v>
      </c>
      <c r="C15" t="s">
        <v>36</v>
      </c>
      <c r="D15">
        <v>800</v>
      </c>
      <c r="E15">
        <v>5.5</v>
      </c>
      <c r="F15">
        <v>0.5</v>
      </c>
      <c r="G15">
        <v>12.089459591799999</v>
      </c>
      <c r="H15">
        <v>0</v>
      </c>
      <c r="I15">
        <v>4.3012675302103993</v>
      </c>
      <c r="J15">
        <v>8.2716683273276908E-4</v>
      </c>
      <c r="K15">
        <v>18.280387003394196</v>
      </c>
      <c r="L15">
        <v>0.34244706875136638</v>
      </c>
      <c r="M15">
        <v>4.9630009963966139E-2</v>
      </c>
      <c r="N15">
        <v>97.714951624575718</v>
      </c>
      <c r="O15">
        <v>5200</v>
      </c>
    </row>
    <row r="16" spans="1:15" x14ac:dyDescent="0.25">
      <c r="A16">
        <v>3</v>
      </c>
      <c r="B16">
        <v>5</v>
      </c>
      <c r="C16" t="s">
        <v>37</v>
      </c>
      <c r="D16">
        <v>800</v>
      </c>
      <c r="E16">
        <v>5.5</v>
      </c>
      <c r="F16">
        <v>0.5</v>
      </c>
      <c r="G16">
        <v>9.8181311856999987</v>
      </c>
      <c r="H16">
        <v>0</v>
      </c>
      <c r="I16">
        <v>5.3981759866066898</v>
      </c>
      <c r="J16">
        <v>2.0370475421157322E-3</v>
      </c>
      <c r="K16">
        <v>34.629808215967444</v>
      </c>
      <c r="L16">
        <v>0.55000283637124769</v>
      </c>
      <c r="M16">
        <v>8.1481901684629279E-2</v>
      </c>
      <c r="N16">
        <v>95.671273973004077</v>
      </c>
      <c r="O16">
        <v>2649.9999999999995</v>
      </c>
    </row>
    <row r="17" spans="1:15" x14ac:dyDescent="0.25">
      <c r="A17">
        <v>3</v>
      </c>
      <c r="B17">
        <v>7</v>
      </c>
      <c r="C17" t="s">
        <v>14</v>
      </c>
      <c r="D17">
        <v>0</v>
      </c>
      <c r="E17">
        <v>5.5</v>
      </c>
      <c r="F17">
        <v>0.5</v>
      </c>
      <c r="G17">
        <v>9.6064679761333327</v>
      </c>
      <c r="H17">
        <v>0.10409653188710329</v>
      </c>
      <c r="I17">
        <v>1.2491583826452395</v>
      </c>
      <c r="J17">
        <v>2.0819306377420658E-3</v>
      </c>
      <c r="K17">
        <v>0.52048265943551641</v>
      </c>
      <c r="L17">
        <v>0.68287324917939751</v>
      </c>
      <c r="M17">
        <v>9.3686878698392956E-2</v>
      </c>
      <c r="O17">
        <v>600</v>
      </c>
    </row>
    <row r="18" spans="1:15" x14ac:dyDescent="0.25">
      <c r="A18">
        <v>3</v>
      </c>
      <c r="B18">
        <v>7</v>
      </c>
      <c r="C18" t="s">
        <v>36</v>
      </c>
      <c r="D18">
        <v>800</v>
      </c>
      <c r="E18">
        <v>5.5</v>
      </c>
      <c r="F18">
        <v>0.5</v>
      </c>
      <c r="G18">
        <v>12.089459591799999</v>
      </c>
      <c r="H18">
        <v>0.74445014945949217</v>
      </c>
      <c r="I18">
        <v>2.0679170818319226</v>
      </c>
      <c r="J18">
        <v>1.6543336654655382E-3</v>
      </c>
      <c r="K18">
        <v>10.835885508799274</v>
      </c>
      <c r="L18">
        <v>0.41689208369731562</v>
      </c>
      <c r="M18">
        <v>4.135834163663845E-2</v>
      </c>
      <c r="N18">
        <v>98.645514311400092</v>
      </c>
      <c r="O18">
        <v>1250</v>
      </c>
    </row>
    <row r="19" spans="1:15" x14ac:dyDescent="0.25">
      <c r="A19">
        <v>3</v>
      </c>
      <c r="B19">
        <v>7</v>
      </c>
      <c r="C19" t="s">
        <v>37</v>
      </c>
      <c r="D19">
        <v>800</v>
      </c>
      <c r="E19">
        <v>5.5</v>
      </c>
      <c r="F19">
        <v>0.5</v>
      </c>
      <c r="G19">
        <v>9.8181311856999987</v>
      </c>
      <c r="H19">
        <v>0.81481901684629277</v>
      </c>
      <c r="I19">
        <v>2.4444570505388783</v>
      </c>
      <c r="J19">
        <v>2.0370475421157322E-3</v>
      </c>
      <c r="K19">
        <v>20.37047542115732</v>
      </c>
      <c r="L19">
        <v>0.59889197738202515</v>
      </c>
      <c r="M19">
        <v>6.1111426263471956E-2</v>
      </c>
      <c r="N19">
        <v>97.453690572355342</v>
      </c>
      <c r="O19">
        <v>1199.9999999999998</v>
      </c>
    </row>
    <row r="20" spans="1:15" x14ac:dyDescent="0.25">
      <c r="A20">
        <v>1</v>
      </c>
      <c r="B20">
        <v>2</v>
      </c>
      <c r="C20" t="s">
        <v>14</v>
      </c>
      <c r="D20">
        <v>0</v>
      </c>
      <c r="E20">
        <v>5.5</v>
      </c>
      <c r="F20">
        <v>0.5</v>
      </c>
      <c r="G20">
        <v>10.162621616391666</v>
      </c>
      <c r="H20">
        <v>0.30411301991047318</v>
      </c>
      <c r="I20">
        <v>0</v>
      </c>
      <c r="J20">
        <v>4.5799617737937091E-4</v>
      </c>
      <c r="K20">
        <v>0.68423293901605453</v>
      </c>
      <c r="L20">
        <v>0.92990444042714471</v>
      </c>
      <c r="M20">
        <v>0.13577929464762731</v>
      </c>
      <c r="O20">
        <v>0</v>
      </c>
    </row>
    <row r="21" spans="1:15" x14ac:dyDescent="0.25">
      <c r="A21">
        <v>1</v>
      </c>
      <c r="B21">
        <v>2</v>
      </c>
      <c r="C21" t="s">
        <v>36</v>
      </c>
      <c r="D21">
        <v>800</v>
      </c>
      <c r="E21">
        <v>5.5</v>
      </c>
      <c r="F21">
        <v>0.5</v>
      </c>
      <c r="G21">
        <v>12.363647587478333</v>
      </c>
      <c r="H21">
        <v>0</v>
      </c>
      <c r="I21">
        <v>2.2871103716085859</v>
      </c>
      <c r="J21">
        <v>2.7014607193443473E-4</v>
      </c>
      <c r="K21">
        <v>26.463951601714715</v>
      </c>
      <c r="L21">
        <v>0.65985129789238572</v>
      </c>
      <c r="M21">
        <v>0.10513879510871627</v>
      </c>
      <c r="N21">
        <v>96.692006049785661</v>
      </c>
      <c r="O21">
        <v>8466.198879855172</v>
      </c>
    </row>
    <row r="22" spans="1:15" x14ac:dyDescent="0.25">
      <c r="A22">
        <v>1</v>
      </c>
      <c r="B22">
        <v>2</v>
      </c>
      <c r="C22" t="s">
        <v>37</v>
      </c>
      <c r="D22">
        <v>800</v>
      </c>
      <c r="E22">
        <v>5.5</v>
      </c>
      <c r="F22">
        <v>0.5</v>
      </c>
      <c r="G22">
        <v>9.0126186427233339</v>
      </c>
      <c r="H22">
        <v>8.0618540197027494E-2</v>
      </c>
      <c r="I22">
        <v>3.2615805508895739</v>
      </c>
      <c r="J22">
        <v>3.694406744294517E-4</v>
      </c>
      <c r="K22">
        <v>47.403594474011214</v>
      </c>
      <c r="L22">
        <v>0.93418917606423169</v>
      </c>
      <c r="M22">
        <v>0.14739624815039643</v>
      </c>
      <c r="N22">
        <v>94.074550690748595</v>
      </c>
      <c r="O22">
        <v>8828.4284233906255</v>
      </c>
    </row>
    <row r="23" spans="1:15" x14ac:dyDescent="0.25">
      <c r="A23">
        <v>1</v>
      </c>
      <c r="B23">
        <v>5</v>
      </c>
      <c r="C23" t="s">
        <v>14</v>
      </c>
      <c r="D23">
        <v>0</v>
      </c>
      <c r="E23">
        <v>5.5</v>
      </c>
      <c r="F23">
        <v>0.5</v>
      </c>
      <c r="G23">
        <v>10.162621616391666</v>
      </c>
      <c r="H23">
        <v>0.39587485972588815</v>
      </c>
      <c r="I23">
        <v>0</v>
      </c>
      <c r="J23">
        <v>3.3051953630410576E-4</v>
      </c>
      <c r="K23">
        <v>0.733843999708785</v>
      </c>
      <c r="L23">
        <v>0.4182215881840663</v>
      </c>
      <c r="M23">
        <v>0.19414284395259931</v>
      </c>
      <c r="O23">
        <v>0</v>
      </c>
    </row>
    <row r="24" spans="1:15" x14ac:dyDescent="0.25">
      <c r="A24">
        <v>1</v>
      </c>
      <c r="B24">
        <v>5</v>
      </c>
      <c r="C24" t="s">
        <v>36</v>
      </c>
      <c r="D24">
        <v>800</v>
      </c>
      <c r="E24">
        <v>5.5</v>
      </c>
      <c r="F24">
        <v>0.5</v>
      </c>
      <c r="G24">
        <v>12.363647587478333</v>
      </c>
      <c r="H24">
        <v>0.21577906863204119</v>
      </c>
      <c r="I24">
        <v>1.1942403644762798</v>
      </c>
      <c r="J24">
        <v>2.4269072275695012E-4</v>
      </c>
      <c r="K24">
        <v>12.034660452085456</v>
      </c>
      <c r="L24">
        <v>0.19252700505701403</v>
      </c>
      <c r="M24">
        <v>0.12131817662584628</v>
      </c>
      <c r="N24">
        <v>98.495667443489324</v>
      </c>
      <c r="O24">
        <v>4920.8323701449744</v>
      </c>
    </row>
    <row r="25" spans="1:15" x14ac:dyDescent="0.25">
      <c r="A25">
        <v>1</v>
      </c>
      <c r="B25">
        <v>5</v>
      </c>
      <c r="C25" t="s">
        <v>37</v>
      </c>
      <c r="D25">
        <v>800</v>
      </c>
      <c r="E25">
        <v>5.5</v>
      </c>
      <c r="F25">
        <v>0.5</v>
      </c>
      <c r="G25">
        <v>9.0126186427233339</v>
      </c>
      <c r="H25">
        <v>0.12472802650938357</v>
      </c>
      <c r="I25">
        <v>1.9838229121356552</v>
      </c>
      <c r="J25">
        <v>3.382586678021058E-4</v>
      </c>
      <c r="K25">
        <v>40.464803585816107</v>
      </c>
      <c r="L25">
        <v>0.39633706413360664</v>
      </c>
      <c r="M25">
        <v>0.18846647684749251</v>
      </c>
      <c r="N25">
        <v>94.941899551772991</v>
      </c>
      <c r="O25">
        <v>5864.8102797361789</v>
      </c>
    </row>
    <row r="26" spans="1:15" x14ac:dyDescent="0.25">
      <c r="A26">
        <v>1</v>
      </c>
      <c r="B26">
        <v>7</v>
      </c>
      <c r="C26" t="s">
        <v>14</v>
      </c>
      <c r="D26">
        <v>0</v>
      </c>
      <c r="E26">
        <v>5.5</v>
      </c>
      <c r="F26">
        <v>0.5</v>
      </c>
      <c r="G26">
        <v>10.162621616391666</v>
      </c>
      <c r="H26">
        <v>0.65827774555520968</v>
      </c>
      <c r="I26">
        <v>0</v>
      </c>
      <c r="J26">
        <v>5.4515936473686791E-4</v>
      </c>
      <c r="K26">
        <v>0.55951762499379121</v>
      </c>
      <c r="L26">
        <v>0.45401926981255364</v>
      </c>
      <c r="M26">
        <v>0.18157891238556442</v>
      </c>
      <c r="O26">
        <v>0</v>
      </c>
    </row>
    <row r="27" spans="1:15" x14ac:dyDescent="0.25">
      <c r="A27">
        <v>1</v>
      </c>
      <c r="B27">
        <v>7</v>
      </c>
      <c r="C27" t="s">
        <v>36</v>
      </c>
      <c r="D27">
        <v>800</v>
      </c>
      <c r="E27">
        <v>5.5</v>
      </c>
      <c r="F27">
        <v>0.5</v>
      </c>
      <c r="G27">
        <v>12.363647587478333</v>
      </c>
      <c r="H27">
        <v>1.1899718917104662</v>
      </c>
      <c r="I27">
        <v>0.26944967694519811</v>
      </c>
      <c r="J27">
        <v>3.7762783496102362E-4</v>
      </c>
      <c r="K27">
        <v>9.791519048914946</v>
      </c>
      <c r="L27">
        <v>0.18648032134690928</v>
      </c>
      <c r="M27">
        <v>0.12140522599950086</v>
      </c>
      <c r="N27">
        <v>98.776060118885638</v>
      </c>
      <c r="O27">
        <v>713.5323511652922</v>
      </c>
    </row>
    <row r="28" spans="1:15" x14ac:dyDescent="0.25">
      <c r="A28">
        <v>1</v>
      </c>
      <c r="B28">
        <v>7</v>
      </c>
      <c r="C28" t="s">
        <v>37</v>
      </c>
      <c r="D28">
        <v>800</v>
      </c>
      <c r="E28">
        <v>5.5</v>
      </c>
      <c r="F28">
        <v>0.5</v>
      </c>
      <c r="G28">
        <v>9.0126186427233339</v>
      </c>
      <c r="H28">
        <v>0.32189967218762194</v>
      </c>
      <c r="I28">
        <v>1.08142160708695</v>
      </c>
      <c r="J28">
        <v>7.1777894814572054E-4</v>
      </c>
      <c r="K28">
        <v>27.83647998787082</v>
      </c>
      <c r="L28">
        <v>0.39289374144174366</v>
      </c>
      <c r="M28">
        <v>0.19892427367141211</v>
      </c>
      <c r="N28">
        <v>96.52044000151615</v>
      </c>
      <c r="O28">
        <v>1506.6220733843593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 2+3 formulae</vt:lpstr>
      <vt:lpstr>All Corrected Data</vt:lpstr>
      <vt:lpstr>For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Westcott</dc:creator>
  <cp:lastModifiedBy>Felix Westcott</cp:lastModifiedBy>
  <dcterms:created xsi:type="dcterms:W3CDTF">2015-06-05T18:17:20Z</dcterms:created>
  <dcterms:modified xsi:type="dcterms:W3CDTF">2022-02-25T16:19:49Z</dcterms:modified>
</cp:coreProperties>
</file>