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"/>
    </mc:Choice>
  </mc:AlternateContent>
  <xr:revisionPtr revIDLastSave="130" documentId="11_F25DC773A252ABDACC1048A9519B73345BDE58ED" xr6:coauthVersionLast="47" xr6:coauthVersionMax="47" xr10:uidLastSave="{91E1301E-BE46-4559-B5B2-FD5F9A3458E9}"/>
  <bookViews>
    <workbookView xWindow="0" yWindow="0" windowWidth="14400" windowHeight="15600" activeTab="1" xr2:uid="{00000000-000D-0000-FFFF-FFFF00000000}"/>
  </bookViews>
  <sheets>
    <sheet name="Averages" sheetId="1" r:id="rId1"/>
    <sheet name="For 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" i="1" l="1"/>
  <c r="I3" i="1"/>
  <c r="I4" i="1"/>
  <c r="I5" i="1"/>
  <c r="F34" i="1" s="1"/>
  <c r="I6" i="1"/>
  <c r="I7" i="1"/>
  <c r="I8" i="1"/>
  <c r="F35" i="1" s="1"/>
  <c r="I9" i="1"/>
  <c r="I10" i="1"/>
  <c r="I11" i="1"/>
  <c r="I12" i="1"/>
  <c r="I13" i="1"/>
  <c r="I14" i="1"/>
  <c r="I15" i="1"/>
  <c r="I16" i="1"/>
  <c r="I17" i="1"/>
  <c r="I18" i="1"/>
  <c r="I19" i="1"/>
  <c r="I20" i="1"/>
  <c r="F39" i="1" s="1"/>
  <c r="I21" i="1"/>
  <c r="I22" i="1"/>
  <c r="I23" i="1"/>
  <c r="I24" i="1"/>
  <c r="I25" i="1"/>
  <c r="I26" i="1"/>
  <c r="F41" i="1" s="1"/>
  <c r="I27" i="1"/>
  <c r="I28" i="1"/>
  <c r="I2" i="1"/>
  <c r="F37" i="1" l="1"/>
  <c r="F36" i="1"/>
  <c r="F40" i="1"/>
  <c r="F38" i="1"/>
</calcChain>
</file>

<file path=xl/sharedStrings.xml><?xml version="1.0" encoding="utf-8"?>
<sst xmlns="http://schemas.openxmlformats.org/spreadsheetml/2006/main" count="93" uniqueCount="39">
  <si>
    <t>Round</t>
  </si>
  <si>
    <t>Media</t>
  </si>
  <si>
    <t>Fat Amount (nM)</t>
  </si>
  <si>
    <t>Glucose (mM)</t>
  </si>
  <si>
    <t>Insulin (nM)</t>
  </si>
  <si>
    <t>Control</t>
  </si>
  <si>
    <t>Sample ID</t>
  </si>
  <si>
    <t>C1.a</t>
  </si>
  <si>
    <t>C2.a</t>
  </si>
  <si>
    <t>C3.a</t>
  </si>
  <si>
    <t>C4.a</t>
  </si>
  <si>
    <t>C5.a</t>
  </si>
  <si>
    <t>C6.a</t>
  </si>
  <si>
    <t>C7.a</t>
  </si>
  <si>
    <t>C8.a</t>
  </si>
  <si>
    <t>C9.a</t>
  </si>
  <si>
    <t>O1.a</t>
  </si>
  <si>
    <t>O2.a</t>
  </si>
  <si>
    <t>O3.a</t>
  </si>
  <si>
    <t>O4.a</t>
  </si>
  <si>
    <t>O5.a</t>
  </si>
  <si>
    <t>O6.a</t>
  </si>
  <si>
    <t>O7.a</t>
  </si>
  <si>
    <t>O8.a</t>
  </si>
  <si>
    <t>O9.a</t>
  </si>
  <si>
    <t>P1.a</t>
  </si>
  <si>
    <t>P2.a</t>
  </si>
  <si>
    <t>P3.a</t>
  </si>
  <si>
    <t>P4.a</t>
  </si>
  <si>
    <t>P5.a</t>
  </si>
  <si>
    <t>P6.a</t>
  </si>
  <si>
    <t>P7.a</t>
  </si>
  <si>
    <t>P8.a</t>
  </si>
  <si>
    <t>P9.a</t>
  </si>
  <si>
    <t>800uM OPLA</t>
  </si>
  <si>
    <t>800uM POLA</t>
  </si>
  <si>
    <t>TAG</t>
  </si>
  <si>
    <t>Protein</t>
  </si>
  <si>
    <t>Uncorrected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</si>
</sst>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</cellXfs>
  <cellStyles count="2">
    <cellStyle name="Normal" xfId="0" builtinId="0"/>
    <cellStyle name="Normal 2" xfId="1" xr:uid="{9818AAA2-C8EF-416B-8B4C-6304220DF7F4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03662-43CB-42C1-A8B8-67AC459D2C7F}" name="Table1" displayName="Table1" ref="A1:I28" totalsRowShown="0">
  <autoFilter ref="A1:I28" xr:uid="{FBE03662-43CB-42C1-A8B8-67AC459D2C7F}"/>
  <sortState xmlns:xlrd2="http://schemas.microsoft.com/office/spreadsheetml/2017/richdata2" ref="A2:F28">
    <sortCondition ref="C1:C28"/>
  </sortState>
  <tableColumns count="9">
    <tableColumn id="1" xr3:uid="{DA512A4B-BD7E-4132-917E-225A034F5220}" name="Round"/>
    <tableColumn id="2" xr3:uid="{A7ED4474-7BD1-44A8-88DF-F0DF740F631C}" name="Media"/>
    <tableColumn id="3" xr3:uid="{24BFD542-A364-491A-9071-8A61679D1F8D}" name="Fat Amount (nM)"/>
    <tableColumn id="4" xr3:uid="{82823666-B3E4-4503-9CAA-688A94F261EE}" name="Glucose (mM)"/>
    <tableColumn id="5" xr3:uid="{68FFE866-B335-4509-8241-854F036ADF95}" name="Insulin (nM)"/>
    <tableColumn id="6" xr3:uid="{20A91E84-0248-486D-A4A7-9F17B0314594}" name="Sample ID"/>
    <tableColumn id="8" xr3:uid="{F8C49E45-FDA2-457F-9F70-1EFF1A085218}" name="Protein"/>
    <tableColumn id="7" xr3:uid="{F1DC6038-3012-4954-B60D-E5EE4A39CCF3}" name="Uncorrected TAG" dataCellStyle="Normal 2"/>
    <tableColumn id="9" xr3:uid="{D6A2DD8B-0BC6-4BB7-A179-7DC3D699502B}" name="TAG">
      <calculatedColumnFormula>Table1[[#This Row],[Uncorrected TAG]]/Table1[[#This Row],[Protein]]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73263E-B173-4791-B48F-23559BC8A877}" name="Table2" displayName="Table2" ref="A32:F41" totalsRowShown="0" headerRowDxfId="10" dataDxfId="8" headerRowBorderDxfId="9" tableBorderDxfId="7" totalsRowBorderDxfId="6">
  <autoFilter ref="A32:F41" xr:uid="{4773263E-B173-4791-B48F-23559BC8A877}"/>
  <tableColumns count="6">
    <tableColumn id="1" xr3:uid="{C30DE3D8-9591-4260-A464-CE42CEC9CF71}" name="Round" dataDxfId="5"/>
    <tableColumn id="2" xr3:uid="{FD9B6DD4-A438-4D7E-ABB5-48EE35BAFC47}" name="Media" dataDxfId="4"/>
    <tableColumn id="3" xr3:uid="{1141554C-9B32-495F-9E28-9CE85D42E522}" name="Fat Amount (nM)" dataDxfId="3"/>
    <tableColumn id="4" xr3:uid="{751D74E2-8A53-40EC-B06E-69ADF63C2472}" name="Glucose (mM)" dataDxfId="2"/>
    <tableColumn id="5" xr3:uid="{FF34C0D3-B7DB-467D-A6A7-A9939D9328EC}" name="Insulin (nM)" dataDxfId="1"/>
    <tableColumn id="7" xr3:uid="{14B8DB7B-5ECB-4C7B-A897-FC187736A901}" name="T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16" workbookViewId="0">
      <selection activeCell="A32" sqref="A32:F41"/>
    </sheetView>
  </sheetViews>
  <sheetFormatPr defaultRowHeight="15" x14ac:dyDescent="0.25"/>
  <cols>
    <col min="3" max="3" width="18.28515625" customWidth="1"/>
    <col min="4" max="4" width="15.7109375" customWidth="1"/>
    <col min="5" max="5" width="14" customWidth="1"/>
    <col min="6" max="6" width="12" customWidth="1"/>
    <col min="9" max="9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37</v>
      </c>
      <c r="H1" t="s">
        <v>38</v>
      </c>
      <c r="I1" t="s">
        <v>36</v>
      </c>
    </row>
    <row r="2" spans="1:9" x14ac:dyDescent="0.25">
      <c r="A2">
        <v>1</v>
      </c>
      <c r="B2" t="s">
        <v>5</v>
      </c>
      <c r="C2">
        <v>0</v>
      </c>
      <c r="D2">
        <v>5.5</v>
      </c>
      <c r="E2">
        <v>0.5</v>
      </c>
      <c r="F2" t="s">
        <v>7</v>
      </c>
      <c r="G2">
        <v>10.162621616391666</v>
      </c>
      <c r="H2">
        <v>149.8520951896023</v>
      </c>
      <c r="I2">
        <f>Table1[[#This Row],[Uncorrected TAG]]/Table1[[#This Row],[Protein]]</f>
        <v>14.745417161640686</v>
      </c>
    </row>
    <row r="3" spans="1:9" x14ac:dyDescent="0.25">
      <c r="A3">
        <v>1</v>
      </c>
      <c r="B3" t="s">
        <v>5</v>
      </c>
      <c r="C3">
        <v>0</v>
      </c>
      <c r="D3">
        <v>5.5</v>
      </c>
      <c r="E3">
        <v>0.5</v>
      </c>
      <c r="F3" t="s">
        <v>8</v>
      </c>
      <c r="G3">
        <v>10.162621616391666</v>
      </c>
      <c r="H3">
        <v>122.51254805571106</v>
      </c>
      <c r="I3">
        <f>Table1[[#This Row],[Uncorrected TAG]]/Table1[[#This Row],[Protein]]</f>
        <v>12.0552110154437</v>
      </c>
    </row>
    <row r="4" spans="1:9" x14ac:dyDescent="0.25">
      <c r="A4">
        <v>1</v>
      </c>
      <c r="B4" t="s">
        <v>5</v>
      </c>
      <c r="C4">
        <v>0</v>
      </c>
      <c r="D4">
        <v>5.5</v>
      </c>
      <c r="E4">
        <v>0.5</v>
      </c>
      <c r="F4" t="s">
        <v>9</v>
      </c>
      <c r="G4">
        <v>10.162621616391666</v>
      </c>
      <c r="H4">
        <v>209.86823342376741</v>
      </c>
      <c r="I4">
        <f>Table1[[#This Row],[Uncorrected TAG]]/Table1[[#This Row],[Protein]]</f>
        <v>20.650993547301141</v>
      </c>
    </row>
    <row r="5" spans="1:9" x14ac:dyDescent="0.25">
      <c r="A5">
        <v>2</v>
      </c>
      <c r="B5" t="s">
        <v>5</v>
      </c>
      <c r="C5">
        <v>0</v>
      </c>
      <c r="D5">
        <v>5.5</v>
      </c>
      <c r="E5">
        <v>0.5</v>
      </c>
      <c r="F5" t="s">
        <v>10</v>
      </c>
      <c r="G5">
        <v>9.9113870719333335</v>
      </c>
      <c r="H5">
        <v>51.21609423004314</v>
      </c>
      <c r="I5">
        <f>Table1[[#This Row],[Uncorrected TAG]]/Table1[[#This Row],[Protein]]</f>
        <v>5.1673992609041388</v>
      </c>
    </row>
    <row r="6" spans="1:9" x14ac:dyDescent="0.25">
      <c r="A6">
        <v>2</v>
      </c>
      <c r="B6" t="s">
        <v>5</v>
      </c>
      <c r="C6">
        <v>0</v>
      </c>
      <c r="D6">
        <v>5.5</v>
      </c>
      <c r="E6">
        <v>0.5</v>
      </c>
      <c r="F6" t="s">
        <v>11</v>
      </c>
      <c r="G6">
        <v>9.9113870719333335</v>
      </c>
      <c r="H6">
        <v>123.44794473503103</v>
      </c>
      <c r="I6">
        <f>Table1[[#This Row],[Uncorrected TAG]]/Table1[[#This Row],[Protein]]</f>
        <v>12.455163322660049</v>
      </c>
    </row>
    <row r="7" spans="1:9" x14ac:dyDescent="0.25">
      <c r="A7">
        <v>2</v>
      </c>
      <c r="B7" t="s">
        <v>5</v>
      </c>
      <c r="C7">
        <v>0</v>
      </c>
      <c r="D7">
        <v>5.5</v>
      </c>
      <c r="E7">
        <v>0.5</v>
      </c>
      <c r="F7" t="s">
        <v>12</v>
      </c>
      <c r="G7">
        <v>9.9113870719333335</v>
      </c>
      <c r="H7">
        <v>99.075323917840478</v>
      </c>
      <c r="I7">
        <f>Table1[[#This Row],[Uncorrected TAG]]/Table1[[#This Row],[Protein]]</f>
        <v>9.9961108570159656</v>
      </c>
    </row>
    <row r="8" spans="1:9" x14ac:dyDescent="0.25">
      <c r="A8">
        <v>3</v>
      </c>
      <c r="B8" t="s">
        <v>5</v>
      </c>
      <c r="C8">
        <v>0</v>
      </c>
      <c r="D8">
        <v>5.5</v>
      </c>
      <c r="E8">
        <v>0.5</v>
      </c>
      <c r="F8" t="s">
        <v>13</v>
      </c>
      <c r="G8">
        <v>9.6064679761333327</v>
      </c>
      <c r="H8">
        <v>52.337085697380232</v>
      </c>
      <c r="I8">
        <f>Table1[[#This Row],[Uncorrected TAG]]/Table1[[#This Row],[Protein]]</f>
        <v>5.4481091101753982</v>
      </c>
    </row>
    <row r="9" spans="1:9" x14ac:dyDescent="0.25">
      <c r="A9">
        <v>3</v>
      </c>
      <c r="B9" t="s">
        <v>5</v>
      </c>
      <c r="C9">
        <v>0</v>
      </c>
      <c r="D9">
        <v>5.5</v>
      </c>
      <c r="E9">
        <v>0.5</v>
      </c>
      <c r="F9" t="s">
        <v>14</v>
      </c>
      <c r="G9">
        <v>9.6064679761333327</v>
      </c>
      <c r="H9">
        <v>54.678373296168608</v>
      </c>
      <c r="I9">
        <f>Table1[[#This Row],[Uncorrected TAG]]/Table1[[#This Row],[Protein]]</f>
        <v>5.6918290293595524</v>
      </c>
    </row>
    <row r="10" spans="1:9" x14ac:dyDescent="0.25">
      <c r="A10">
        <v>3</v>
      </c>
      <c r="B10" t="s">
        <v>5</v>
      </c>
      <c r="C10">
        <v>0</v>
      </c>
      <c r="D10">
        <v>5.5</v>
      </c>
      <c r="E10">
        <v>0.5</v>
      </c>
      <c r="F10" t="s">
        <v>15</v>
      </c>
      <c r="G10">
        <v>9.6064679761333327</v>
      </c>
      <c r="H10">
        <v>51.600691896911492</v>
      </c>
      <c r="I10">
        <f>Table1[[#This Row],[Uncorrected TAG]]/Table1[[#This Row],[Protein]]</f>
        <v>5.3714530694434393</v>
      </c>
    </row>
    <row r="11" spans="1:9" x14ac:dyDescent="0.25">
      <c r="A11">
        <v>1</v>
      </c>
      <c r="B11" t="s">
        <v>34</v>
      </c>
      <c r="C11">
        <v>800</v>
      </c>
      <c r="D11">
        <v>5.5</v>
      </c>
      <c r="E11">
        <v>0.5</v>
      </c>
      <c r="F11" t="s">
        <v>16</v>
      </c>
      <c r="G11">
        <v>12.363647587478333</v>
      </c>
      <c r="H11">
        <v>4009.7906799359544</v>
      </c>
      <c r="I11">
        <f>Table1[[#This Row],[Uncorrected TAG]]/Table1[[#This Row],[Protein]]</f>
        <v>324.32101057272081</v>
      </c>
    </row>
    <row r="12" spans="1:9" x14ac:dyDescent="0.25">
      <c r="A12">
        <v>1</v>
      </c>
      <c r="B12" t="s">
        <v>34</v>
      </c>
      <c r="C12">
        <v>800</v>
      </c>
      <c r="D12">
        <v>5.5</v>
      </c>
      <c r="E12">
        <v>0.5</v>
      </c>
      <c r="F12" t="s">
        <v>17</v>
      </c>
      <c r="G12">
        <v>12.363647587478333</v>
      </c>
      <c r="H12">
        <v>4329.9484485063649</v>
      </c>
      <c r="I12">
        <f>Table1[[#This Row],[Uncorrected TAG]]/Table1[[#This Row],[Protein]]</f>
        <v>350.21610069925111</v>
      </c>
    </row>
    <row r="13" spans="1:9" x14ac:dyDescent="0.25">
      <c r="A13">
        <v>1</v>
      </c>
      <c r="B13" t="s">
        <v>34</v>
      </c>
      <c r="C13">
        <v>800</v>
      </c>
      <c r="D13">
        <v>5.5</v>
      </c>
      <c r="E13">
        <v>0.5</v>
      </c>
      <c r="F13" t="s">
        <v>18</v>
      </c>
      <c r="G13">
        <v>12.363647587478333</v>
      </c>
      <c r="H13">
        <v>4254.7464286257964</v>
      </c>
      <c r="I13">
        <f>Table1[[#This Row],[Uncorrected TAG]]/Table1[[#This Row],[Protein]]</f>
        <v>344.13358990715028</v>
      </c>
    </row>
    <row r="14" spans="1:9" x14ac:dyDescent="0.25">
      <c r="A14">
        <v>2</v>
      </c>
      <c r="B14" t="s">
        <v>34</v>
      </c>
      <c r="C14">
        <v>800</v>
      </c>
      <c r="D14">
        <v>5.5</v>
      </c>
      <c r="E14">
        <v>0.5</v>
      </c>
      <c r="F14" t="s">
        <v>19</v>
      </c>
      <c r="G14">
        <v>10.8689926372</v>
      </c>
      <c r="H14">
        <v>5140.6402937129396</v>
      </c>
      <c r="I14">
        <f>Table1[[#This Row],[Uncorrected TAG]]/Table1[[#This Row],[Protein]]</f>
        <v>472.96382151540757</v>
      </c>
    </row>
    <row r="15" spans="1:9" x14ac:dyDescent="0.25">
      <c r="A15">
        <v>2</v>
      </c>
      <c r="B15" t="s">
        <v>34</v>
      </c>
      <c r="C15">
        <v>800</v>
      </c>
      <c r="D15">
        <v>5.5</v>
      </c>
      <c r="E15">
        <v>0.5</v>
      </c>
      <c r="F15" t="s">
        <v>20</v>
      </c>
      <c r="G15">
        <v>10.8689926372</v>
      </c>
      <c r="H15">
        <v>5591.9365797856544</v>
      </c>
      <c r="I15">
        <f>Table1[[#This Row],[Uncorrected TAG]]/Table1[[#This Row],[Protein]]</f>
        <v>514.48526707496353</v>
      </c>
    </row>
    <row r="16" spans="1:9" x14ac:dyDescent="0.25">
      <c r="A16">
        <v>2</v>
      </c>
      <c r="B16" t="s">
        <v>34</v>
      </c>
      <c r="C16">
        <v>800</v>
      </c>
      <c r="D16">
        <v>5.5</v>
      </c>
      <c r="E16">
        <v>0.5</v>
      </c>
      <c r="F16" t="s">
        <v>21</v>
      </c>
      <c r="G16">
        <v>10.8689926372</v>
      </c>
      <c r="H16">
        <v>5741.8628512350497</v>
      </c>
      <c r="I16">
        <f>Table1[[#This Row],[Uncorrected TAG]]/Table1[[#This Row],[Protein]]</f>
        <v>528.2792106770836</v>
      </c>
    </row>
    <row r="17" spans="1:9" x14ac:dyDescent="0.25">
      <c r="A17">
        <v>3</v>
      </c>
      <c r="B17" t="s">
        <v>34</v>
      </c>
      <c r="C17">
        <v>800</v>
      </c>
      <c r="D17">
        <v>5.5</v>
      </c>
      <c r="E17">
        <v>0.5</v>
      </c>
      <c r="F17" t="s">
        <v>22</v>
      </c>
      <c r="G17">
        <v>12.089459591799999</v>
      </c>
      <c r="H17">
        <v>3824.4177957973002</v>
      </c>
      <c r="I17">
        <f>Table1[[#This Row],[Uncorrected TAG]]/Table1[[#This Row],[Protein]]</f>
        <v>316.34315551964909</v>
      </c>
    </row>
    <row r="18" spans="1:9" x14ac:dyDescent="0.25">
      <c r="A18">
        <v>3</v>
      </c>
      <c r="B18" t="s">
        <v>34</v>
      </c>
      <c r="C18">
        <v>800</v>
      </c>
      <c r="D18">
        <v>5.5</v>
      </c>
      <c r="E18">
        <v>0.5</v>
      </c>
      <c r="F18" t="s">
        <v>23</v>
      </c>
      <c r="G18">
        <v>12.089459591799999</v>
      </c>
      <c r="H18">
        <v>4512.676138700368</v>
      </c>
      <c r="I18">
        <f>Table1[[#This Row],[Uncorrected TAG]]/Table1[[#This Row],[Protein]]</f>
        <v>373.27360287975256</v>
      </c>
    </row>
    <row r="19" spans="1:9" x14ac:dyDescent="0.25">
      <c r="A19">
        <v>3</v>
      </c>
      <c r="B19" t="s">
        <v>34</v>
      </c>
      <c r="C19">
        <v>800</v>
      </c>
      <c r="D19">
        <v>5.5</v>
      </c>
      <c r="E19">
        <v>0.5</v>
      </c>
      <c r="F19" t="s">
        <v>24</v>
      </c>
      <c r="G19">
        <v>12.089459591799999</v>
      </c>
      <c r="H19">
        <v>4331.3884893527684</v>
      </c>
      <c r="I19">
        <f>Table1[[#This Row],[Uncorrected TAG]]/Table1[[#This Row],[Protein]]</f>
        <v>358.27808980731027</v>
      </c>
    </row>
    <row r="20" spans="1:9" x14ac:dyDescent="0.25">
      <c r="A20">
        <v>1</v>
      </c>
      <c r="B20" t="s">
        <v>35</v>
      </c>
      <c r="C20">
        <v>800</v>
      </c>
      <c r="D20">
        <v>5.5</v>
      </c>
      <c r="E20">
        <v>0.5</v>
      </c>
      <c r="F20" t="s">
        <v>25</v>
      </c>
      <c r="G20">
        <v>9.0126186427233339</v>
      </c>
      <c r="H20">
        <v>2959.6597763739578</v>
      </c>
      <c r="I20">
        <f>Table1[[#This Row],[Uncorrected TAG]]/Table1[[#This Row],[Protein]]</f>
        <v>328.39065910811024</v>
      </c>
    </row>
    <row r="21" spans="1:9" x14ac:dyDescent="0.25">
      <c r="A21">
        <v>1</v>
      </c>
      <c r="B21" t="s">
        <v>35</v>
      </c>
      <c r="C21">
        <v>800</v>
      </c>
      <c r="D21">
        <v>5.5</v>
      </c>
      <c r="E21">
        <v>0.5</v>
      </c>
      <c r="F21" t="s">
        <v>26</v>
      </c>
      <c r="G21">
        <v>9.0126186427233339</v>
      </c>
      <c r="H21">
        <v>3711.7385014663755</v>
      </c>
      <c r="I21">
        <f>Table1[[#This Row],[Uncorrected TAG]]/Table1[[#This Row],[Protein]]</f>
        <v>411.83796281707566</v>
      </c>
    </row>
    <row r="22" spans="1:9" x14ac:dyDescent="0.25">
      <c r="A22">
        <v>1</v>
      </c>
      <c r="B22" t="s">
        <v>35</v>
      </c>
      <c r="C22">
        <v>800</v>
      </c>
      <c r="D22">
        <v>5.5</v>
      </c>
      <c r="E22">
        <v>0.5</v>
      </c>
      <c r="F22" t="s">
        <v>27</v>
      </c>
      <c r="G22">
        <v>9.0126186427233339</v>
      </c>
      <c r="H22">
        <v>3402.3834957206741</v>
      </c>
      <c r="I22">
        <f>Table1[[#This Row],[Uncorrected TAG]]/Table1[[#This Row],[Protein]]</f>
        <v>377.51331001536522</v>
      </c>
    </row>
    <row r="23" spans="1:9" x14ac:dyDescent="0.25">
      <c r="A23">
        <v>2</v>
      </c>
      <c r="B23" t="s">
        <v>35</v>
      </c>
      <c r="C23">
        <v>800</v>
      </c>
      <c r="D23">
        <v>5.5</v>
      </c>
      <c r="E23">
        <v>0.5</v>
      </c>
      <c r="F23" t="s">
        <v>28</v>
      </c>
      <c r="G23">
        <v>9.5658290743666665</v>
      </c>
      <c r="H23">
        <v>4576.4248047129877</v>
      </c>
      <c r="I23">
        <f>Table1[[#This Row],[Uncorrected TAG]]/Table1[[#This Row],[Protein]]</f>
        <v>478.41381746787937</v>
      </c>
    </row>
    <row r="24" spans="1:9" x14ac:dyDescent="0.25">
      <c r="A24">
        <v>2</v>
      </c>
      <c r="B24" t="s">
        <v>35</v>
      </c>
      <c r="C24">
        <v>800</v>
      </c>
      <c r="D24">
        <v>5.5</v>
      </c>
      <c r="E24">
        <v>0.5</v>
      </c>
      <c r="F24" t="s">
        <v>29</v>
      </c>
      <c r="G24">
        <v>9.5658290743666665</v>
      </c>
      <c r="H24">
        <v>4728.0022562542508</v>
      </c>
      <c r="I24">
        <f>Table1[[#This Row],[Uncorrected TAG]]/Table1[[#This Row],[Protein]]</f>
        <v>494.25953772514822</v>
      </c>
    </row>
    <row r="25" spans="1:9" x14ac:dyDescent="0.25">
      <c r="A25">
        <v>2</v>
      </c>
      <c r="B25" t="s">
        <v>35</v>
      </c>
      <c r="C25">
        <v>800</v>
      </c>
      <c r="D25">
        <v>5.5</v>
      </c>
      <c r="E25">
        <v>0.5</v>
      </c>
      <c r="F25" t="s">
        <v>30</v>
      </c>
      <c r="G25">
        <v>9.5658290743666665</v>
      </c>
      <c r="H25">
        <v>4952.6344527158071</v>
      </c>
      <c r="I25">
        <f>Table1[[#This Row],[Uncorrected TAG]]/Table1[[#This Row],[Protein]]</f>
        <v>517.74231111731535</v>
      </c>
    </row>
    <row r="26" spans="1:9" x14ac:dyDescent="0.25">
      <c r="A26">
        <v>3</v>
      </c>
      <c r="B26" t="s">
        <v>35</v>
      </c>
      <c r="C26">
        <v>800</v>
      </c>
      <c r="D26">
        <v>5.5</v>
      </c>
      <c r="E26">
        <v>0.5</v>
      </c>
      <c r="F26" t="s">
        <v>31</v>
      </c>
      <c r="G26">
        <v>9.8181311856999987</v>
      </c>
      <c r="H26">
        <v>3227.1450489182798</v>
      </c>
      <c r="I26">
        <f>Table1[[#This Row],[Uncorrected TAG]]/Table1[[#This Row],[Protein]]</f>
        <v>328.69239449749676</v>
      </c>
    </row>
    <row r="27" spans="1:9" x14ac:dyDescent="0.25">
      <c r="A27">
        <v>3</v>
      </c>
      <c r="B27" t="s">
        <v>35</v>
      </c>
      <c r="C27">
        <v>800</v>
      </c>
      <c r="D27">
        <v>5.5</v>
      </c>
      <c r="E27">
        <v>0.5</v>
      </c>
      <c r="F27" t="s">
        <v>32</v>
      </c>
      <c r="G27">
        <v>9.8181311856999987</v>
      </c>
      <c r="H27">
        <v>4374.2020931572761</v>
      </c>
      <c r="I27">
        <f>Table1[[#This Row],[Uncorrected TAG]]/Table1[[#This Row],[Protein]]</f>
        <v>445.52288112917597</v>
      </c>
    </row>
    <row r="28" spans="1:9" x14ac:dyDescent="0.25">
      <c r="A28">
        <v>3</v>
      </c>
      <c r="B28" t="s">
        <v>35</v>
      </c>
      <c r="C28">
        <v>800</v>
      </c>
      <c r="D28">
        <v>5.5</v>
      </c>
      <c r="E28">
        <v>0.5</v>
      </c>
      <c r="F28" t="s">
        <v>33</v>
      </c>
      <c r="G28">
        <v>9.8181311856999987</v>
      </c>
      <c r="H28">
        <v>3639.7842970879565</v>
      </c>
      <c r="I28">
        <f>Table1[[#This Row],[Uncorrected TAG]]/Table1[[#This Row],[Protein]]</f>
        <v>370.72068281072296</v>
      </c>
    </row>
    <row r="32" spans="1:9" x14ac:dyDescent="0.25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36</v>
      </c>
    </row>
    <row r="33" spans="1:6" x14ac:dyDescent="0.25">
      <c r="A33" s="1">
        <v>1</v>
      </c>
      <c r="B33" s="1" t="s">
        <v>5</v>
      </c>
      <c r="C33" s="1">
        <v>0</v>
      </c>
      <c r="D33" s="1">
        <v>5.5</v>
      </c>
      <c r="E33" s="1">
        <v>0.5</v>
      </c>
      <c r="F33" s="1">
        <f>AVERAGE(I2:I4)</f>
        <v>15.817207241461842</v>
      </c>
    </row>
    <row r="34" spans="1:6" x14ac:dyDescent="0.25">
      <c r="A34" s="2">
        <v>2</v>
      </c>
      <c r="B34" s="2" t="s">
        <v>5</v>
      </c>
      <c r="C34" s="2">
        <v>0</v>
      </c>
      <c r="D34" s="2">
        <v>5.5</v>
      </c>
      <c r="E34" s="2">
        <v>0.5</v>
      </c>
      <c r="F34" s="2">
        <f>AVERAGE(I5:I7)</f>
        <v>9.2062244801933844</v>
      </c>
    </row>
    <row r="35" spans="1:6" x14ac:dyDescent="0.25">
      <c r="A35" s="1">
        <v>3</v>
      </c>
      <c r="B35" s="1" t="s">
        <v>5</v>
      </c>
      <c r="C35" s="1">
        <v>0</v>
      </c>
      <c r="D35" s="1">
        <v>5.5</v>
      </c>
      <c r="E35" s="1">
        <v>0.5</v>
      </c>
      <c r="F35" s="1">
        <f>AVERAGE(I8:I10)</f>
        <v>5.5037970696594636</v>
      </c>
    </row>
    <row r="36" spans="1:6" x14ac:dyDescent="0.25">
      <c r="A36" s="2">
        <v>1</v>
      </c>
      <c r="B36" s="2" t="s">
        <v>34</v>
      </c>
      <c r="C36" s="2">
        <v>800</v>
      </c>
      <c r="D36" s="2">
        <v>5.5</v>
      </c>
      <c r="E36" s="2">
        <v>0.5</v>
      </c>
      <c r="F36" s="2">
        <f>AVERAGE(I11:I13)</f>
        <v>339.55690039304073</v>
      </c>
    </row>
    <row r="37" spans="1:6" x14ac:dyDescent="0.25">
      <c r="A37" s="1">
        <v>2</v>
      </c>
      <c r="B37" s="2" t="s">
        <v>34</v>
      </c>
      <c r="C37" s="1">
        <v>800</v>
      </c>
      <c r="D37" s="1">
        <v>5.5</v>
      </c>
      <c r="E37" s="1">
        <v>0.5</v>
      </c>
      <c r="F37" s="1">
        <f>AVERAGE(I14:I16)</f>
        <v>505.24276642248486</v>
      </c>
    </row>
    <row r="38" spans="1:6" x14ac:dyDescent="0.25">
      <c r="A38" s="2">
        <v>3</v>
      </c>
      <c r="B38" s="2" t="s">
        <v>34</v>
      </c>
      <c r="C38" s="2">
        <v>800</v>
      </c>
      <c r="D38" s="2">
        <v>5.5</v>
      </c>
      <c r="E38" s="2">
        <v>0.5</v>
      </c>
      <c r="F38" s="2">
        <f>AVERAGE(I17:I19)</f>
        <v>349.29828273557064</v>
      </c>
    </row>
    <row r="39" spans="1:6" x14ac:dyDescent="0.25">
      <c r="A39" s="1">
        <v>1</v>
      </c>
      <c r="B39" s="1" t="s">
        <v>35</v>
      </c>
      <c r="C39" s="1">
        <v>800</v>
      </c>
      <c r="D39" s="1">
        <v>5.5</v>
      </c>
      <c r="E39" s="1">
        <v>0.5</v>
      </c>
      <c r="F39" s="1">
        <f>AVERAGE(I20:I22)</f>
        <v>372.58064398018377</v>
      </c>
    </row>
    <row r="40" spans="1:6" x14ac:dyDescent="0.25">
      <c r="A40" s="2">
        <v>2</v>
      </c>
      <c r="B40" s="1" t="s">
        <v>35</v>
      </c>
      <c r="C40" s="2">
        <v>800</v>
      </c>
      <c r="D40" s="2">
        <v>5.5</v>
      </c>
      <c r="E40" s="2">
        <v>0.5</v>
      </c>
      <c r="F40" s="2">
        <f>AVERAGE(I23:I25)</f>
        <v>496.8052221034477</v>
      </c>
    </row>
    <row r="41" spans="1:6" x14ac:dyDescent="0.25">
      <c r="A41" s="1">
        <v>3</v>
      </c>
      <c r="B41" s="1" t="s">
        <v>35</v>
      </c>
      <c r="C41" s="1">
        <v>800</v>
      </c>
      <c r="D41" s="1">
        <v>5.5</v>
      </c>
      <c r="E41" s="1">
        <v>0.5</v>
      </c>
      <c r="F41" s="1">
        <f>AVERAGE(I26:I28)</f>
        <v>381.64531947913196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CF51-5187-4B53-8E13-4B1ED98A1456}">
  <dimension ref="A1:F10"/>
  <sheetViews>
    <sheetView tabSelected="1" workbookViewId="0">
      <selection activeCell="E18" sqref="E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spans="1:6" x14ac:dyDescent="0.25">
      <c r="A2">
        <v>1</v>
      </c>
      <c r="B2" t="s">
        <v>5</v>
      </c>
      <c r="C2">
        <v>0</v>
      </c>
      <c r="D2">
        <v>5.5</v>
      </c>
      <c r="E2">
        <v>0.5</v>
      </c>
      <c r="F2">
        <v>15.817207241461842</v>
      </c>
    </row>
    <row r="3" spans="1:6" x14ac:dyDescent="0.25">
      <c r="A3">
        <v>2</v>
      </c>
      <c r="B3" t="s">
        <v>5</v>
      </c>
      <c r="C3">
        <v>0</v>
      </c>
      <c r="D3">
        <v>5.5</v>
      </c>
      <c r="E3">
        <v>0.5</v>
      </c>
      <c r="F3">
        <v>9.2062244801933844</v>
      </c>
    </row>
    <row r="4" spans="1:6" x14ac:dyDescent="0.25">
      <c r="A4">
        <v>3</v>
      </c>
      <c r="B4" t="s">
        <v>5</v>
      </c>
      <c r="C4">
        <v>0</v>
      </c>
      <c r="D4">
        <v>5.5</v>
      </c>
      <c r="E4">
        <v>0.5</v>
      </c>
      <c r="F4">
        <v>5.5037970696594636</v>
      </c>
    </row>
    <row r="5" spans="1:6" x14ac:dyDescent="0.25">
      <c r="A5">
        <v>1</v>
      </c>
      <c r="B5" t="s">
        <v>34</v>
      </c>
      <c r="C5">
        <v>800</v>
      </c>
      <c r="D5">
        <v>5.5</v>
      </c>
      <c r="E5">
        <v>0.5</v>
      </c>
      <c r="F5">
        <v>339.55690039304073</v>
      </c>
    </row>
    <row r="6" spans="1:6" x14ac:dyDescent="0.25">
      <c r="A6">
        <v>2</v>
      </c>
      <c r="B6" t="s">
        <v>34</v>
      </c>
      <c r="C6">
        <v>800</v>
      </c>
      <c r="D6">
        <v>5.5</v>
      </c>
      <c r="E6">
        <v>0.5</v>
      </c>
      <c r="F6">
        <v>505.24276642248486</v>
      </c>
    </row>
    <row r="7" spans="1:6" x14ac:dyDescent="0.25">
      <c r="A7">
        <v>3</v>
      </c>
      <c r="B7" t="s">
        <v>34</v>
      </c>
      <c r="C7">
        <v>800</v>
      </c>
      <c r="D7">
        <v>5.5</v>
      </c>
      <c r="E7">
        <v>0.5</v>
      </c>
      <c r="F7">
        <v>349.29828273557064</v>
      </c>
    </row>
    <row r="8" spans="1:6" x14ac:dyDescent="0.25">
      <c r="A8">
        <v>1</v>
      </c>
      <c r="B8" t="s">
        <v>35</v>
      </c>
      <c r="C8">
        <v>800</v>
      </c>
      <c r="D8">
        <v>5.5</v>
      </c>
      <c r="E8">
        <v>0.5</v>
      </c>
      <c r="F8">
        <v>372.58064398018377</v>
      </c>
    </row>
    <row r="9" spans="1:6" x14ac:dyDescent="0.25">
      <c r="A9">
        <v>2</v>
      </c>
      <c r="B9" t="s">
        <v>35</v>
      </c>
      <c r="C9">
        <v>800</v>
      </c>
      <c r="D9">
        <v>5.5</v>
      </c>
      <c r="E9">
        <v>0.5</v>
      </c>
      <c r="F9">
        <v>496.8052221034477</v>
      </c>
    </row>
    <row r="10" spans="1:6" x14ac:dyDescent="0.25">
      <c r="A10">
        <v>3</v>
      </c>
      <c r="B10" t="s">
        <v>35</v>
      </c>
      <c r="C10">
        <v>800</v>
      </c>
      <c r="D10">
        <v>5.5</v>
      </c>
      <c r="E10">
        <v>0.5</v>
      </c>
      <c r="F10">
        <v>381.64531947913196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2015-06-05T18:17:20Z</dcterms:created>
  <dcterms:modified xsi:type="dcterms:W3CDTF">2022-03-07T15:37:16Z</dcterms:modified>
</cp:coreProperties>
</file>