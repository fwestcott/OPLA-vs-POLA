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-vs-POLA/qPCR/"/>
    </mc:Choice>
  </mc:AlternateContent>
  <xr:revisionPtr revIDLastSave="209" documentId="8_{1B0C598B-3C15-4727-BCD6-83BC4859914F}" xr6:coauthVersionLast="47" xr6:coauthVersionMax="47" xr10:uidLastSave="{DB7579AE-7E86-483A-AC5E-690DACE5474C}"/>
  <bookViews>
    <workbookView xWindow="-120" yWindow="-120" windowWidth="29040" windowHeight="15840" activeTab="4" xr2:uid="{00000000-000D-0000-FFFF-FFFF00000000}"/>
  </bookViews>
  <sheets>
    <sheet name="Exported Results" sheetId="1" r:id="rId1"/>
    <sheet name="Results Workspace" sheetId="2" r:id="rId2"/>
    <sheet name="ATG5" sheetId="4" r:id="rId3"/>
    <sheet name="ATG7" sheetId="5" r:id="rId4"/>
    <sheet name="ATG10" sheetId="9" r:id="rId5"/>
    <sheet name="Housekeeper summary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" i="2" l="1"/>
  <c r="C56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4" i="2"/>
  <c r="C35" i="2"/>
  <c r="C37" i="2"/>
  <c r="C38" i="2"/>
  <c r="C39" i="2"/>
  <c r="C40" i="2"/>
  <c r="C41" i="2"/>
  <c r="C43" i="2"/>
  <c r="C44" i="2"/>
  <c r="C45" i="2"/>
  <c r="C46" i="2"/>
  <c r="C47" i="2"/>
  <c r="C48" i="2"/>
  <c r="C49" i="2"/>
  <c r="C50" i="2"/>
  <c r="C51" i="2"/>
  <c r="C53" i="2"/>
  <c r="C54" i="2"/>
  <c r="C57" i="2"/>
  <c r="C59" i="2"/>
  <c r="C60" i="2"/>
  <c r="C61" i="2"/>
  <c r="C62" i="2"/>
  <c r="C63" i="2"/>
  <c r="C64" i="2"/>
  <c r="C65" i="2"/>
  <c r="C66" i="2"/>
  <c r="C67" i="2"/>
  <c r="C68" i="2"/>
  <c r="C70" i="2"/>
  <c r="C71" i="2"/>
  <c r="C72" i="2"/>
  <c r="C73" i="2"/>
  <c r="C74" i="2"/>
  <c r="C75" i="2"/>
  <c r="C76" i="2"/>
  <c r="C77" i="2"/>
  <c r="C79" i="2"/>
  <c r="C80" i="2"/>
  <c r="C81" i="2"/>
  <c r="C82" i="2"/>
  <c r="C83" i="2"/>
  <c r="C84" i="2"/>
  <c r="C85" i="2"/>
  <c r="C86" i="2"/>
  <c r="C88" i="2"/>
  <c r="C89" i="2"/>
  <c r="C91" i="2"/>
  <c r="C92" i="2"/>
  <c r="C94" i="2"/>
  <c r="C95" i="2"/>
  <c r="C96" i="2"/>
  <c r="C97" i="2"/>
  <c r="C98" i="2"/>
  <c r="C100" i="2"/>
  <c r="C101" i="2"/>
  <c r="C102" i="2"/>
  <c r="C103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" i="2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E4" i="8" l="1"/>
  <c r="D244" i="2"/>
  <c r="D245" i="2"/>
  <c r="D246" i="2"/>
  <c r="D247" i="2"/>
  <c r="D248" i="2"/>
  <c r="D249" i="2"/>
  <c r="D250" i="2"/>
  <c r="D251" i="2"/>
  <c r="D252" i="2"/>
  <c r="D253" i="2"/>
  <c r="D254" i="2"/>
  <c r="D255" i="2"/>
  <c r="B36" i="9" s="1"/>
  <c r="A5" i="9" s="1"/>
  <c r="D256" i="2"/>
  <c r="D257" i="2"/>
  <c r="D258" i="2"/>
  <c r="B37" i="9" s="1"/>
  <c r="A6" i="9" s="1"/>
  <c r="D259" i="2"/>
  <c r="D260" i="2"/>
  <c r="D261" i="2"/>
  <c r="D262" i="2"/>
  <c r="D263" i="2"/>
  <c r="D264" i="2"/>
  <c r="B39" i="9" s="1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B44" i="9" s="1"/>
  <c r="D280" i="2"/>
  <c r="D281" i="2"/>
  <c r="D282" i="2"/>
  <c r="B45" i="9" s="1"/>
  <c r="D283" i="2"/>
  <c r="D284" i="2"/>
  <c r="D285" i="2"/>
  <c r="D286" i="2"/>
  <c r="D287" i="2"/>
  <c r="D288" i="2"/>
  <c r="B47" i="9" s="1"/>
  <c r="D289" i="2"/>
  <c r="D290" i="2"/>
  <c r="D291" i="2"/>
  <c r="D292" i="2"/>
  <c r="D293" i="2"/>
  <c r="D294" i="2"/>
  <c r="D295" i="2"/>
  <c r="D296" i="2"/>
  <c r="D297" i="2"/>
  <c r="B50" i="9" s="1"/>
  <c r="D298" i="2"/>
  <c r="D299" i="2"/>
  <c r="D300" i="2"/>
  <c r="B51" i="9" s="1"/>
  <c r="D301" i="2"/>
  <c r="D302" i="2"/>
  <c r="D303" i="2"/>
  <c r="B52" i="9" s="1"/>
  <c r="D304" i="2"/>
  <c r="D305" i="2"/>
  <c r="D306" i="2"/>
  <c r="B53" i="9" s="1"/>
  <c r="D307" i="2"/>
  <c r="D308" i="2"/>
  <c r="D309" i="2"/>
  <c r="B54" i="9" s="1"/>
  <c r="D310" i="2"/>
  <c r="D311" i="2"/>
  <c r="D312" i="2"/>
  <c r="B55" i="9" s="1"/>
  <c r="D313" i="2"/>
  <c r="D314" i="2"/>
  <c r="D315" i="2"/>
  <c r="B56" i="9" s="1"/>
  <c r="D316" i="2"/>
  <c r="D317" i="2"/>
  <c r="D318" i="2"/>
  <c r="B57" i="9" s="1"/>
  <c r="D319" i="2"/>
  <c r="D320" i="2"/>
  <c r="D321" i="2"/>
  <c r="B58" i="9" s="1"/>
  <c r="D322" i="2"/>
  <c r="D323" i="2"/>
  <c r="D324" i="2"/>
  <c r="B59" i="9" s="1"/>
  <c r="D325" i="2"/>
  <c r="D326" i="2"/>
  <c r="D327" i="2"/>
  <c r="B60" i="9" s="1"/>
  <c r="D328" i="2"/>
  <c r="D329" i="2"/>
  <c r="D330" i="2"/>
  <c r="B61" i="9" s="1"/>
  <c r="D331" i="2"/>
  <c r="D332" i="2"/>
  <c r="D333" i="2"/>
  <c r="B62" i="9" s="1"/>
  <c r="D334" i="2"/>
  <c r="D335" i="2"/>
  <c r="D336" i="2"/>
  <c r="B63" i="9" s="1"/>
  <c r="D337" i="2"/>
  <c r="D338" i="2"/>
  <c r="D339" i="2"/>
  <c r="B64" i="9" s="1"/>
  <c r="D340" i="2"/>
  <c r="D341" i="2"/>
  <c r="D342" i="2"/>
  <c r="B65" i="9" s="1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243" i="2"/>
  <c r="B48" i="9"/>
  <c r="D124" i="2"/>
  <c r="D125" i="2"/>
  <c r="D126" i="2"/>
  <c r="D127" i="2"/>
  <c r="D128" i="2"/>
  <c r="D129" i="2"/>
  <c r="B34" i="5" s="1"/>
  <c r="D130" i="2"/>
  <c r="D131" i="2"/>
  <c r="D132" i="2"/>
  <c r="B35" i="5" s="1"/>
  <c r="D133" i="2"/>
  <c r="D134" i="2"/>
  <c r="D135" i="2"/>
  <c r="B36" i="5" s="1"/>
  <c r="D136" i="2"/>
  <c r="D137" i="2"/>
  <c r="D138" i="2"/>
  <c r="D139" i="2"/>
  <c r="D140" i="2"/>
  <c r="D141" i="2"/>
  <c r="D142" i="2"/>
  <c r="D143" i="2"/>
  <c r="D144" i="2"/>
  <c r="D145" i="2"/>
  <c r="D146" i="2"/>
  <c r="D147" i="2"/>
  <c r="B40" i="5" s="1"/>
  <c r="D148" i="2"/>
  <c r="D149" i="2"/>
  <c r="D150" i="2"/>
  <c r="B41" i="5" s="1"/>
  <c r="D151" i="2"/>
  <c r="D152" i="2"/>
  <c r="D153" i="2"/>
  <c r="B42" i="5" s="1"/>
  <c r="D154" i="2"/>
  <c r="D155" i="2"/>
  <c r="D156" i="2"/>
  <c r="B43" i="5" s="1"/>
  <c r="D157" i="2"/>
  <c r="D158" i="2"/>
  <c r="D159" i="2"/>
  <c r="B44" i="5" s="1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B50" i="5" s="1"/>
  <c r="D178" i="2"/>
  <c r="D179" i="2"/>
  <c r="D180" i="2"/>
  <c r="D181" i="2"/>
  <c r="D182" i="2"/>
  <c r="D183" i="2"/>
  <c r="B52" i="5" s="1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B58" i="5" s="1"/>
  <c r="D202" i="2"/>
  <c r="D203" i="2"/>
  <c r="D204" i="2"/>
  <c r="B59" i="5" s="1"/>
  <c r="D205" i="2"/>
  <c r="D206" i="2"/>
  <c r="D207" i="2"/>
  <c r="B60" i="5" s="1"/>
  <c r="D208" i="2"/>
  <c r="D209" i="2"/>
  <c r="D210" i="2"/>
  <c r="D211" i="2"/>
  <c r="D212" i="2"/>
  <c r="D213" i="2"/>
  <c r="B62" i="5" s="1"/>
  <c r="D214" i="2"/>
  <c r="D215" i="2"/>
  <c r="D216" i="2"/>
  <c r="D217" i="2"/>
  <c r="D218" i="2"/>
  <c r="D219" i="2"/>
  <c r="D220" i="2"/>
  <c r="D221" i="2"/>
  <c r="D222" i="2"/>
  <c r="D223" i="2"/>
  <c r="D224" i="2"/>
  <c r="D225" i="2"/>
  <c r="B67" i="9" s="1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123" i="2"/>
  <c r="B32" i="5" s="1"/>
  <c r="B124" i="2"/>
  <c r="B125" i="2"/>
  <c r="B126" i="2"/>
  <c r="B127" i="2"/>
  <c r="B128" i="2"/>
  <c r="B129" i="2"/>
  <c r="B130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12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B64" i="4" s="1"/>
  <c r="D100" i="2"/>
  <c r="D101" i="2"/>
  <c r="D102" i="2"/>
  <c r="B65" i="4" s="1"/>
  <c r="D103" i="2"/>
  <c r="D104" i="2"/>
  <c r="D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3" i="2"/>
  <c r="B33" i="5"/>
  <c r="B39" i="5"/>
  <c r="B45" i="5"/>
  <c r="B47" i="5"/>
  <c r="B48" i="5"/>
  <c r="B56" i="5"/>
  <c r="B63" i="5"/>
  <c r="B65" i="5"/>
  <c r="B49" i="9"/>
  <c r="B46" i="9"/>
  <c r="B43" i="9"/>
  <c r="B42" i="9"/>
  <c r="B41" i="9"/>
  <c r="B40" i="9"/>
  <c r="B38" i="9"/>
  <c r="A7" i="9" s="1"/>
  <c r="B35" i="9"/>
  <c r="A4" i="9" s="1"/>
  <c r="B34" i="9"/>
  <c r="A3" i="9" s="1"/>
  <c r="B33" i="9"/>
  <c r="A2" i="9" s="1"/>
  <c r="B32" i="9"/>
  <c r="E65" i="9"/>
  <c r="E64" i="9"/>
  <c r="F7" i="9"/>
  <c r="F6" i="9"/>
  <c r="F5" i="9"/>
  <c r="F4" i="9"/>
  <c r="F3" i="9"/>
  <c r="F2" i="9"/>
  <c r="E64" i="5"/>
  <c r="E65" i="5"/>
  <c r="B61" i="5"/>
  <c r="B54" i="5"/>
  <c r="B49" i="5"/>
  <c r="B46" i="5"/>
  <c r="B38" i="5"/>
  <c r="B37" i="5"/>
  <c r="B67" i="5" l="1"/>
  <c r="B51" i="5"/>
  <c r="B53" i="5"/>
  <c r="B64" i="5"/>
  <c r="B55" i="5"/>
  <c r="B57" i="5"/>
  <c r="E6" i="2"/>
  <c r="F6" i="2"/>
  <c r="B63" i="4" l="1"/>
  <c r="B62" i="4" l="1"/>
  <c r="B61" i="4"/>
  <c r="B60" i="4"/>
  <c r="B59" i="4"/>
  <c r="B58" i="4"/>
  <c r="B57" i="4"/>
  <c r="B56" i="4"/>
  <c r="A2" i="5" l="1"/>
  <c r="A3" i="5"/>
  <c r="A7" i="5"/>
  <c r="A6" i="5"/>
  <c r="A5" i="5"/>
  <c r="A4" i="5"/>
  <c r="F7" i="5" l="1"/>
  <c r="F6" i="5"/>
  <c r="F5" i="5"/>
  <c r="F4" i="5"/>
  <c r="F3" i="5"/>
  <c r="F2" i="5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A7" i="4" s="1"/>
  <c r="B37" i="4"/>
  <c r="A6" i="4" s="1"/>
  <c r="B36" i="4"/>
  <c r="A5" i="4" s="1"/>
  <c r="B32" i="4"/>
  <c r="B35" i="4"/>
  <c r="A4" i="4" s="1"/>
  <c r="B34" i="4"/>
  <c r="A3" i="4" s="1"/>
  <c r="B33" i="4" l="1"/>
  <c r="A2" i="4" s="1"/>
  <c r="F3" i="4"/>
  <c r="F4" i="4"/>
  <c r="F5" i="4"/>
  <c r="F6" i="4"/>
  <c r="F7" i="4"/>
  <c r="F2" i="4"/>
  <c r="E327" i="2" l="1"/>
  <c r="C60" i="9" s="1"/>
  <c r="F327" i="2"/>
  <c r="D60" i="9" s="1"/>
  <c r="E123" i="2"/>
  <c r="F123" i="2"/>
  <c r="F51" i="2"/>
  <c r="D48" i="4" s="1"/>
  <c r="E51" i="2"/>
  <c r="C48" i="4" s="1"/>
  <c r="E39" i="2"/>
  <c r="C44" i="4" s="1"/>
  <c r="F39" i="2"/>
  <c r="D44" i="4" s="1"/>
  <c r="F27" i="2"/>
  <c r="D40" i="4" s="1"/>
  <c r="E27" i="2"/>
  <c r="C40" i="4" s="1"/>
  <c r="F15" i="2"/>
  <c r="D36" i="4" s="1"/>
  <c r="C5" i="4" s="1"/>
  <c r="E15" i="2"/>
  <c r="C36" i="4" s="1"/>
  <c r="B5" i="4" s="1"/>
  <c r="F351" i="2"/>
  <c r="E351" i="2"/>
  <c r="F99" i="2"/>
  <c r="D64" i="4" s="1"/>
  <c r="E99" i="2"/>
  <c r="C64" i="4" s="1"/>
  <c r="E348" i="2"/>
  <c r="F348" i="2"/>
  <c r="F63" i="2"/>
  <c r="D52" i="4" s="1"/>
  <c r="E63" i="2"/>
  <c r="C52" i="4" s="1"/>
  <c r="F300" i="2"/>
  <c r="D51" i="9" s="1"/>
  <c r="E300" i="2"/>
  <c r="C51" i="9" s="1"/>
  <c r="E339" i="2"/>
  <c r="C64" i="9" s="1"/>
  <c r="F339" i="2"/>
  <c r="D64" i="9" s="1"/>
  <c r="F312" i="2"/>
  <c r="D55" i="9" s="1"/>
  <c r="E312" i="2"/>
  <c r="C55" i="9" s="1"/>
  <c r="E111" i="2"/>
  <c r="F111" i="2"/>
  <c r="E336" i="2"/>
  <c r="C63" i="9" s="1"/>
  <c r="F336" i="2"/>
  <c r="D63" i="9" s="1"/>
  <c r="F333" i="2"/>
  <c r="D62" i="9" s="1"/>
  <c r="E333" i="2"/>
  <c r="C62" i="9" s="1"/>
  <c r="F297" i="2"/>
  <c r="D50" i="9" s="1"/>
  <c r="E297" i="2"/>
  <c r="C50" i="9" s="1"/>
  <c r="E87" i="2"/>
  <c r="F87" i="2"/>
  <c r="D60" i="4" s="1"/>
  <c r="E324" i="2"/>
  <c r="C59" i="9" s="1"/>
  <c r="F324" i="2"/>
  <c r="D59" i="9" s="1"/>
  <c r="E345" i="2"/>
  <c r="F345" i="2"/>
  <c r="E303" i="2"/>
  <c r="C52" i="9" s="1"/>
  <c r="F303" i="2"/>
  <c r="D52" i="9" s="1"/>
  <c r="F360" i="2"/>
  <c r="E360" i="2"/>
  <c r="F357" i="2"/>
  <c r="E357" i="2"/>
  <c r="F321" i="2"/>
  <c r="D58" i="9" s="1"/>
  <c r="E321" i="2"/>
  <c r="C58" i="9" s="1"/>
  <c r="F309" i="2"/>
  <c r="D54" i="9" s="1"/>
  <c r="E309" i="2"/>
  <c r="C54" i="9" s="1"/>
  <c r="F315" i="2"/>
  <c r="D56" i="9" s="1"/>
  <c r="E315" i="2"/>
  <c r="C56" i="9" s="1"/>
  <c r="F354" i="2"/>
  <c r="E354" i="2"/>
  <c r="F342" i="2"/>
  <c r="D65" i="9" s="1"/>
  <c r="E342" i="2"/>
  <c r="C65" i="9" s="1"/>
  <c r="F330" i="2"/>
  <c r="D61" i="9" s="1"/>
  <c r="E330" i="2"/>
  <c r="C61" i="9" s="1"/>
  <c r="F318" i="2"/>
  <c r="D57" i="9" s="1"/>
  <c r="E318" i="2"/>
  <c r="C57" i="9" s="1"/>
  <c r="F306" i="2"/>
  <c r="D53" i="9" s="1"/>
  <c r="E306" i="2"/>
  <c r="C53" i="9" s="1"/>
  <c r="F294" i="2"/>
  <c r="D49" i="9" s="1"/>
  <c r="E294" i="2"/>
  <c r="C49" i="9" s="1"/>
  <c r="F285" i="2"/>
  <c r="D46" i="9" s="1"/>
  <c r="E285" i="2"/>
  <c r="C46" i="9" s="1"/>
  <c r="E273" i="2"/>
  <c r="C42" i="9" s="1"/>
  <c r="F273" i="2"/>
  <c r="D42" i="9" s="1"/>
  <c r="F261" i="2"/>
  <c r="D38" i="9" s="1"/>
  <c r="E261" i="2"/>
  <c r="C38" i="9" s="1"/>
  <c r="F249" i="2"/>
  <c r="D34" i="9" s="1"/>
  <c r="E249" i="2"/>
  <c r="C34" i="9" s="1"/>
  <c r="F237" i="2"/>
  <c r="E237" i="2"/>
  <c r="F225" i="2"/>
  <c r="E225" i="2"/>
  <c r="F213" i="2"/>
  <c r="E213" i="2"/>
  <c r="F201" i="2"/>
  <c r="D58" i="5" s="1"/>
  <c r="E201" i="2"/>
  <c r="C58" i="5" s="1"/>
  <c r="F189" i="2"/>
  <c r="E189" i="2"/>
  <c r="F177" i="2"/>
  <c r="E177" i="2"/>
  <c r="E165" i="2"/>
  <c r="F165" i="2"/>
  <c r="F153" i="2"/>
  <c r="E153" i="2"/>
  <c r="F141" i="2"/>
  <c r="E141" i="2"/>
  <c r="F129" i="2"/>
  <c r="E129" i="2"/>
  <c r="F117" i="2"/>
  <c r="E117" i="2"/>
  <c r="F105" i="2"/>
  <c r="E105" i="2"/>
  <c r="E93" i="2"/>
  <c r="F93" i="2"/>
  <c r="D62" i="4" s="1"/>
  <c r="F81" i="2"/>
  <c r="D58" i="4" s="1"/>
  <c r="E81" i="2"/>
  <c r="F69" i="2"/>
  <c r="D54" i="4" s="1"/>
  <c r="E69" i="2"/>
  <c r="C54" i="4" s="1"/>
  <c r="E57" i="2"/>
  <c r="C50" i="4" s="1"/>
  <c r="F57" i="2"/>
  <c r="D50" i="4" s="1"/>
  <c r="F45" i="2"/>
  <c r="D46" i="4" s="1"/>
  <c r="E45" i="2"/>
  <c r="C46" i="4" s="1"/>
  <c r="F33" i="2"/>
  <c r="D42" i="4" s="1"/>
  <c r="E33" i="2"/>
  <c r="C42" i="4" s="1"/>
  <c r="E21" i="2"/>
  <c r="C38" i="4" s="1"/>
  <c r="B7" i="4" s="1"/>
  <c r="F21" i="2"/>
  <c r="D38" i="4" s="1"/>
  <c r="C7" i="4" s="1"/>
  <c r="F9" i="2"/>
  <c r="D34" i="4" s="1"/>
  <c r="C3" i="4" s="1"/>
  <c r="E9" i="2"/>
  <c r="C34" i="4" s="1"/>
  <c r="B3" i="4" s="1"/>
  <c r="F75" i="2"/>
  <c r="D56" i="4" s="1"/>
  <c r="E75" i="2"/>
  <c r="C56" i="4" s="1"/>
  <c r="F126" i="2"/>
  <c r="E126" i="2"/>
  <c r="F258" i="2"/>
  <c r="D37" i="9" s="1"/>
  <c r="E258" i="2"/>
  <c r="C37" i="9" s="1"/>
  <c r="F246" i="2"/>
  <c r="D33" i="9" s="1"/>
  <c r="E246" i="2"/>
  <c r="C33" i="9" s="1"/>
  <c r="F234" i="2"/>
  <c r="E234" i="2"/>
  <c r="F222" i="2"/>
  <c r="E222" i="2"/>
  <c r="F210" i="2"/>
  <c r="E210" i="2"/>
  <c r="E198" i="2"/>
  <c r="F198" i="2"/>
  <c r="F186" i="2"/>
  <c r="E186" i="2"/>
  <c r="F174" i="2"/>
  <c r="E174" i="2"/>
  <c r="E162" i="2"/>
  <c r="F162" i="2"/>
  <c r="F150" i="2"/>
  <c r="E150" i="2"/>
  <c r="F138" i="2"/>
  <c r="E138" i="2"/>
  <c r="F114" i="2"/>
  <c r="E114" i="2"/>
  <c r="F102" i="2"/>
  <c r="D65" i="4" s="1"/>
  <c r="E102" i="2"/>
  <c r="C65" i="4" s="1"/>
  <c r="E90" i="2"/>
  <c r="F90" i="2"/>
  <c r="D61" i="4" s="1"/>
  <c r="F78" i="2"/>
  <c r="D57" i="4" s="1"/>
  <c r="E78" i="2"/>
  <c r="F66" i="2"/>
  <c r="D53" i="4" s="1"/>
  <c r="E66" i="2"/>
  <c r="C53" i="4" s="1"/>
  <c r="E54" i="2"/>
  <c r="C49" i="4" s="1"/>
  <c r="F54" i="2"/>
  <c r="D49" i="4" s="1"/>
  <c r="F42" i="2"/>
  <c r="D45" i="4" s="1"/>
  <c r="E42" i="2"/>
  <c r="C45" i="4" s="1"/>
  <c r="F30" i="2"/>
  <c r="D41" i="4" s="1"/>
  <c r="E30" i="2"/>
  <c r="C41" i="4" s="1"/>
  <c r="E18" i="2"/>
  <c r="C37" i="4" s="1"/>
  <c r="B6" i="4" s="1"/>
  <c r="F18" i="2"/>
  <c r="D37" i="4" s="1"/>
  <c r="C6" i="4" s="1"/>
  <c r="D33" i="4"/>
  <c r="C2" i="4" s="1"/>
  <c r="C33" i="4"/>
  <c r="B2" i="4" s="1"/>
  <c r="F270" i="2"/>
  <c r="D41" i="9" s="1"/>
  <c r="E270" i="2"/>
  <c r="C41" i="9" s="1"/>
  <c r="F282" i="2"/>
  <c r="D45" i="9" s="1"/>
  <c r="E282" i="2"/>
  <c r="C45" i="9" s="1"/>
  <c r="F3" i="2"/>
  <c r="D32" i="4" s="1"/>
  <c r="E3" i="2"/>
  <c r="C32" i="4" s="1"/>
  <c r="E291" i="2"/>
  <c r="C48" i="9" s="1"/>
  <c r="F291" i="2"/>
  <c r="D48" i="9" s="1"/>
  <c r="F279" i="2"/>
  <c r="D44" i="9" s="1"/>
  <c r="E279" i="2"/>
  <c r="C44" i="9" s="1"/>
  <c r="E267" i="2"/>
  <c r="C40" i="9" s="1"/>
  <c r="F267" i="2"/>
  <c r="D40" i="9" s="1"/>
  <c r="F255" i="2"/>
  <c r="D36" i="9" s="1"/>
  <c r="E255" i="2"/>
  <c r="C36" i="9" s="1"/>
  <c r="F243" i="2"/>
  <c r="D32" i="9" s="1"/>
  <c r="E243" i="2"/>
  <c r="C32" i="9" s="1"/>
  <c r="F231" i="2"/>
  <c r="E231" i="2"/>
  <c r="E219" i="2"/>
  <c r="F219" i="2"/>
  <c r="F207" i="2"/>
  <c r="D60" i="5" s="1"/>
  <c r="E207" i="2"/>
  <c r="C60" i="5" s="1"/>
  <c r="E195" i="2"/>
  <c r="F195" i="2"/>
  <c r="E183" i="2"/>
  <c r="F183" i="2"/>
  <c r="F171" i="2"/>
  <c r="E171" i="2"/>
  <c r="E159" i="2"/>
  <c r="F159" i="2"/>
  <c r="E147" i="2"/>
  <c r="F147" i="2"/>
  <c r="F135" i="2"/>
  <c r="E135" i="2"/>
  <c r="F288" i="2"/>
  <c r="D47" i="9" s="1"/>
  <c r="E288" i="2"/>
  <c r="C47" i="9" s="1"/>
  <c r="E276" i="2"/>
  <c r="C43" i="9" s="1"/>
  <c r="F276" i="2"/>
  <c r="D43" i="9" s="1"/>
  <c r="F264" i="2"/>
  <c r="D39" i="9" s="1"/>
  <c r="E264" i="2"/>
  <c r="C39" i="9" s="1"/>
  <c r="E252" i="2"/>
  <c r="C35" i="9" s="1"/>
  <c r="F252" i="2"/>
  <c r="D35" i="9" s="1"/>
  <c r="F240" i="2"/>
  <c r="E240" i="2"/>
  <c r="F228" i="2"/>
  <c r="E228" i="2"/>
  <c r="E216" i="2"/>
  <c r="F216" i="2"/>
  <c r="F204" i="2"/>
  <c r="E204" i="2"/>
  <c r="F192" i="2"/>
  <c r="E192" i="2"/>
  <c r="F180" i="2"/>
  <c r="E180" i="2"/>
  <c r="F168" i="2"/>
  <c r="E168" i="2"/>
  <c r="F156" i="2"/>
  <c r="E156" i="2"/>
  <c r="E144" i="2"/>
  <c r="F144" i="2"/>
  <c r="F132" i="2"/>
  <c r="E132" i="2"/>
  <c r="F120" i="2"/>
  <c r="E120" i="2"/>
  <c r="E108" i="2"/>
  <c r="F108" i="2"/>
  <c r="F96" i="2"/>
  <c r="D63" i="4" s="1"/>
  <c r="E96" i="2"/>
  <c r="C63" i="4" s="1"/>
  <c r="F84" i="2"/>
  <c r="D59" i="4" s="1"/>
  <c r="E84" i="2"/>
  <c r="F72" i="2"/>
  <c r="D55" i="4" s="1"/>
  <c r="E72" i="2"/>
  <c r="C55" i="4" s="1"/>
  <c r="E60" i="2"/>
  <c r="C51" i="4" s="1"/>
  <c r="F60" i="2"/>
  <c r="F48" i="2"/>
  <c r="D47" i="4" s="1"/>
  <c r="E48" i="2"/>
  <c r="C47" i="4" s="1"/>
  <c r="F36" i="2"/>
  <c r="D43" i="4" s="1"/>
  <c r="E36" i="2"/>
  <c r="C43" i="4" s="1"/>
  <c r="F24" i="2"/>
  <c r="D39" i="4" s="1"/>
  <c r="E24" i="2"/>
  <c r="C39" i="4" s="1"/>
  <c r="F12" i="2"/>
  <c r="D35" i="4" s="1"/>
  <c r="C4" i="4" s="1"/>
  <c r="E12" i="2"/>
  <c r="C35" i="4" s="1"/>
  <c r="B4" i="4" s="1"/>
  <c r="E60" i="5" l="1"/>
  <c r="E58" i="5"/>
  <c r="E60" i="9"/>
  <c r="E58" i="9"/>
  <c r="D48" i="5"/>
  <c r="D37" i="5"/>
  <c r="D38" i="5"/>
  <c r="C35" i="5"/>
  <c r="B4" i="5" s="1"/>
  <c r="B4" i="9"/>
  <c r="C59" i="5"/>
  <c r="E42" i="9"/>
  <c r="C42" i="5"/>
  <c r="D59" i="5"/>
  <c r="D65" i="5"/>
  <c r="D39" i="5"/>
  <c r="D56" i="5"/>
  <c r="C39" i="5"/>
  <c r="C63" i="5"/>
  <c r="C43" i="5"/>
  <c r="C36" i="5"/>
  <c r="B5" i="5" s="1"/>
  <c r="B5" i="9"/>
  <c r="C49" i="5"/>
  <c r="C50" i="5"/>
  <c r="D43" i="5"/>
  <c r="E43" i="5" s="1"/>
  <c r="E43" i="9"/>
  <c r="D36" i="5"/>
  <c r="D50" i="5"/>
  <c r="C47" i="5"/>
  <c r="D40" i="5"/>
  <c r="C53" i="5"/>
  <c r="D47" i="5"/>
  <c r="C40" i="5"/>
  <c r="D53" i="5"/>
  <c r="C51" i="5"/>
  <c r="D57" i="5"/>
  <c r="C34" i="5"/>
  <c r="B3" i="5" s="1"/>
  <c r="B3" i="9"/>
  <c r="C57" i="5"/>
  <c r="D33" i="5"/>
  <c r="C2" i="5" s="1"/>
  <c r="D34" i="5"/>
  <c r="D49" i="5"/>
  <c r="D64" i="5"/>
  <c r="C54" i="5"/>
  <c r="C64" i="5"/>
  <c r="D54" i="5"/>
  <c r="D44" i="5"/>
  <c r="B2" i="9"/>
  <c r="C33" i="5"/>
  <c r="B2" i="5" s="1"/>
  <c r="D51" i="5"/>
  <c r="C44" i="5"/>
  <c r="C55" i="5"/>
  <c r="C48" i="5"/>
  <c r="B6" i="9"/>
  <c r="C37" i="5"/>
  <c r="B6" i="5" s="1"/>
  <c r="C61" i="5"/>
  <c r="B7" i="9"/>
  <c r="C38" i="5"/>
  <c r="B7" i="5" s="1"/>
  <c r="C62" i="5"/>
  <c r="D55" i="5"/>
  <c r="E55" i="5" s="1"/>
  <c r="E55" i="9"/>
  <c r="E61" i="9"/>
  <c r="D61" i="5"/>
  <c r="D62" i="5"/>
  <c r="D52" i="5"/>
  <c r="C41" i="5"/>
  <c r="C65" i="5"/>
  <c r="D35" i="5"/>
  <c r="C4" i="5" s="1"/>
  <c r="C52" i="5"/>
  <c r="D41" i="5"/>
  <c r="D42" i="5"/>
  <c r="D63" i="5"/>
  <c r="D45" i="5"/>
  <c r="D46" i="5"/>
  <c r="C56" i="5"/>
  <c r="C45" i="5"/>
  <c r="C46" i="5"/>
  <c r="D32" i="5"/>
  <c r="C32" i="5"/>
  <c r="E65" i="4"/>
  <c r="E64" i="4"/>
  <c r="E63" i="4"/>
  <c r="E56" i="4"/>
  <c r="C59" i="4"/>
  <c r="E59" i="4" s="1"/>
  <c r="C58" i="4"/>
  <c r="E58" i="4" s="1"/>
  <c r="C57" i="4"/>
  <c r="E57" i="4" s="1"/>
  <c r="C62" i="4"/>
  <c r="E62" i="4" s="1"/>
  <c r="C60" i="4"/>
  <c r="E60" i="4" s="1"/>
  <c r="C61" i="4"/>
  <c r="E61" i="4" s="1"/>
  <c r="D51" i="4"/>
  <c r="E51" i="4" s="1"/>
  <c r="E42" i="4"/>
  <c r="D2" i="4"/>
  <c r="E49" i="4"/>
  <c r="E50" i="4"/>
  <c r="E44" i="4"/>
  <c r="E48" i="4"/>
  <c r="E40" i="4"/>
  <c r="E45" i="4"/>
  <c r="E46" i="4"/>
  <c r="E41" i="4"/>
  <c r="D7" i="4"/>
  <c r="E52" i="4"/>
  <c r="E53" i="4"/>
  <c r="E54" i="4"/>
  <c r="E55" i="4"/>
  <c r="E47" i="4"/>
  <c r="E39" i="4"/>
  <c r="D3" i="4"/>
  <c r="E37" i="4"/>
  <c r="E38" i="4"/>
  <c r="E36" i="4"/>
  <c r="E43" i="4"/>
  <c r="C28" i="4"/>
  <c r="C29" i="4" s="1"/>
  <c r="D6" i="4"/>
  <c r="D5" i="4"/>
  <c r="E35" i="4"/>
  <c r="E33" i="4"/>
  <c r="D4" i="4"/>
  <c r="E34" i="4"/>
  <c r="E32" i="4"/>
  <c r="E34" i="5" l="1"/>
  <c r="C3" i="5"/>
  <c r="D3" i="5" s="1"/>
  <c r="E35" i="5"/>
  <c r="E36" i="5"/>
  <c r="E56" i="5"/>
  <c r="E63" i="5"/>
  <c r="E51" i="5"/>
  <c r="E57" i="9"/>
  <c r="E40" i="9"/>
  <c r="E39" i="9"/>
  <c r="E38" i="5"/>
  <c r="E42" i="5"/>
  <c r="E52" i="9"/>
  <c r="E49" i="5"/>
  <c r="E37" i="5"/>
  <c r="E41" i="9"/>
  <c r="E62" i="9"/>
  <c r="E44" i="5"/>
  <c r="E53" i="5"/>
  <c r="E50" i="5"/>
  <c r="E44" i="9"/>
  <c r="E50" i="9"/>
  <c r="E52" i="5"/>
  <c r="E49" i="9"/>
  <c r="C5" i="5"/>
  <c r="D5" i="5" s="1"/>
  <c r="E34" i="9"/>
  <c r="C3" i="9"/>
  <c r="D3" i="9" s="1"/>
  <c r="E59" i="9"/>
  <c r="C6" i="5"/>
  <c r="D6" i="5" s="1"/>
  <c r="E61" i="5"/>
  <c r="E54" i="5"/>
  <c r="E33" i="5"/>
  <c r="C5" i="9"/>
  <c r="D5" i="9" s="1"/>
  <c r="E36" i="9"/>
  <c r="E46" i="9"/>
  <c r="E35" i="9"/>
  <c r="C4" i="9"/>
  <c r="D4" i="9" s="1"/>
  <c r="E46" i="5"/>
  <c r="E47" i="5"/>
  <c r="E45" i="9"/>
  <c r="E54" i="9"/>
  <c r="E56" i="9"/>
  <c r="E33" i="9"/>
  <c r="C2" i="9"/>
  <c r="D2" i="9" s="1"/>
  <c r="E47" i="9"/>
  <c r="E45" i="5"/>
  <c r="E63" i="9"/>
  <c r="E51" i="9"/>
  <c r="E57" i="5"/>
  <c r="E40" i="5"/>
  <c r="E39" i="5"/>
  <c r="E38" i="9"/>
  <c r="C7" i="9"/>
  <c r="D7" i="9" s="1"/>
  <c r="C28" i="9"/>
  <c r="C29" i="9" s="1"/>
  <c r="E37" i="9"/>
  <c r="C6" i="9"/>
  <c r="D6" i="9" s="1"/>
  <c r="E48" i="5"/>
  <c r="C7" i="5"/>
  <c r="D7" i="5" s="1"/>
  <c r="E41" i="5"/>
  <c r="E62" i="5"/>
  <c r="E53" i="9"/>
  <c r="E59" i="5"/>
  <c r="E48" i="9"/>
  <c r="E32" i="5"/>
  <c r="E32" i="9"/>
  <c r="F65" i="4"/>
  <c r="G65" i="4" s="1"/>
  <c r="F64" i="4"/>
  <c r="G64" i="4" s="1"/>
  <c r="F63" i="4"/>
  <c r="G63" i="4" s="1"/>
  <c r="D2" i="5"/>
  <c r="C28" i="5"/>
  <c r="C29" i="5" s="1"/>
  <c r="F60" i="4"/>
  <c r="G60" i="4" s="1"/>
  <c r="F61" i="4"/>
  <c r="G61" i="4" s="1"/>
  <c r="F56" i="4"/>
  <c r="G56" i="4" s="1"/>
  <c r="F62" i="4"/>
  <c r="G62" i="4" s="1"/>
  <c r="F57" i="4"/>
  <c r="G57" i="4" s="1"/>
  <c r="F59" i="4"/>
  <c r="G59" i="4" s="1"/>
  <c r="F58" i="4"/>
  <c r="G58" i="4" s="1"/>
  <c r="D4" i="5"/>
  <c r="F48" i="4"/>
  <c r="G48" i="4" s="1"/>
  <c r="F54" i="4"/>
  <c r="G54" i="4" s="1"/>
  <c r="F52" i="4"/>
  <c r="G52" i="4" s="1"/>
  <c r="F51" i="4"/>
  <c r="G51" i="4" s="1"/>
  <c r="F50" i="4"/>
  <c r="G50" i="4" s="1"/>
  <c r="F53" i="4"/>
  <c r="G53" i="4" s="1"/>
  <c r="F49" i="4"/>
  <c r="G49" i="4" s="1"/>
  <c r="F55" i="4"/>
  <c r="G55" i="4" s="1"/>
  <c r="F47" i="4"/>
  <c r="G47" i="4" s="1"/>
  <c r="F33" i="4"/>
  <c r="F37" i="4"/>
  <c r="F39" i="4"/>
  <c r="G39" i="4" s="1"/>
  <c r="F41" i="4"/>
  <c r="G41" i="4" s="1"/>
  <c r="F43" i="4"/>
  <c r="G43" i="4" s="1"/>
  <c r="F45" i="4"/>
  <c r="G45" i="4" s="1"/>
  <c r="F36" i="4"/>
  <c r="F38" i="4"/>
  <c r="F40" i="4"/>
  <c r="G40" i="4" s="1"/>
  <c r="F42" i="4"/>
  <c r="G42" i="4" s="1"/>
  <c r="F44" i="4"/>
  <c r="G44" i="4" s="1"/>
  <c r="F46" i="4"/>
  <c r="G46" i="4" s="1"/>
  <c r="F34" i="4"/>
  <c r="F32" i="4"/>
  <c r="F35" i="4"/>
  <c r="F38" i="9" l="1"/>
  <c r="F61" i="9"/>
  <c r="G61" i="9" s="1"/>
  <c r="F51" i="9"/>
  <c r="G51" i="9" s="1"/>
  <c r="F57" i="9"/>
  <c r="G57" i="9" s="1"/>
  <c r="F49" i="9"/>
  <c r="G49" i="9" s="1"/>
  <c r="F39" i="9"/>
  <c r="G39" i="9" s="1"/>
  <c r="F45" i="9"/>
  <c r="G45" i="9" s="1"/>
  <c r="F37" i="9"/>
  <c r="F34" i="9"/>
  <c r="F33" i="9"/>
  <c r="F58" i="9"/>
  <c r="G58" i="9" s="1"/>
  <c r="F65" i="9"/>
  <c r="G65" i="9" s="1"/>
  <c r="F64" i="9"/>
  <c r="G64" i="9" s="1"/>
  <c r="F46" i="9"/>
  <c r="G46" i="9" s="1"/>
  <c r="F48" i="9"/>
  <c r="G48" i="9" s="1"/>
  <c r="F52" i="9"/>
  <c r="G52" i="9" s="1"/>
  <c r="F53" i="9"/>
  <c r="G53" i="9" s="1"/>
  <c r="F36" i="9"/>
  <c r="F60" i="9"/>
  <c r="G60" i="9" s="1"/>
  <c r="F47" i="9"/>
  <c r="G47" i="9" s="1"/>
  <c r="F35" i="9"/>
  <c r="F54" i="9"/>
  <c r="G54" i="9" s="1"/>
  <c r="F44" i="9"/>
  <c r="G44" i="9" s="1"/>
  <c r="F40" i="9"/>
  <c r="G40" i="9" s="1"/>
  <c r="F41" i="9"/>
  <c r="G41" i="9" s="1"/>
  <c r="F43" i="9"/>
  <c r="G43" i="9" s="1"/>
  <c r="F59" i="9"/>
  <c r="G59" i="9" s="1"/>
  <c r="F55" i="9"/>
  <c r="G55" i="9" s="1"/>
  <c r="F56" i="9"/>
  <c r="G56" i="9" s="1"/>
  <c r="F62" i="9"/>
  <c r="G62" i="9" s="1"/>
  <c r="F50" i="9"/>
  <c r="G50" i="9" s="1"/>
  <c r="F42" i="9"/>
  <c r="G42" i="9" s="1"/>
  <c r="F63" i="9"/>
  <c r="G63" i="9" s="1"/>
  <c r="F32" i="9"/>
  <c r="F64" i="5"/>
  <c r="G64" i="5" s="1"/>
  <c r="F65" i="5"/>
  <c r="G65" i="5" s="1"/>
  <c r="F63" i="5"/>
  <c r="G63" i="5" s="1"/>
  <c r="F46" i="5"/>
  <c r="G46" i="5" s="1"/>
  <c r="F37" i="5"/>
  <c r="F48" i="5"/>
  <c r="G48" i="5" s="1"/>
  <c r="F59" i="5"/>
  <c r="G59" i="5" s="1"/>
  <c r="F50" i="5"/>
  <c r="G50" i="5" s="1"/>
  <c r="F43" i="5"/>
  <c r="G43" i="5" s="1"/>
  <c r="F42" i="5"/>
  <c r="G42" i="5" s="1"/>
  <c r="F52" i="5"/>
  <c r="G52" i="5" s="1"/>
  <c r="F38" i="5"/>
  <c r="F60" i="5"/>
  <c r="G60" i="5" s="1"/>
  <c r="F51" i="5"/>
  <c r="G51" i="5" s="1"/>
  <c r="F58" i="5"/>
  <c r="G58" i="5" s="1"/>
  <c r="F40" i="5"/>
  <c r="G40" i="5" s="1"/>
  <c r="F32" i="5"/>
  <c r="F39" i="5"/>
  <c r="G39" i="5" s="1"/>
  <c r="F49" i="5"/>
  <c r="G49" i="5" s="1"/>
  <c r="F35" i="5"/>
  <c r="F56" i="5"/>
  <c r="G56" i="5" s="1"/>
  <c r="F55" i="5"/>
  <c r="G55" i="5" s="1"/>
  <c r="F44" i="5"/>
  <c r="G44" i="5" s="1"/>
  <c r="F57" i="5"/>
  <c r="G57" i="5" s="1"/>
  <c r="F34" i="5"/>
  <c r="F33" i="5"/>
  <c r="F62" i="5"/>
  <c r="G62" i="5" s="1"/>
  <c r="F45" i="5"/>
  <c r="G45" i="5" s="1"/>
  <c r="F47" i="5"/>
  <c r="G47" i="5" s="1"/>
  <c r="F61" i="5"/>
  <c r="G61" i="5" s="1"/>
  <c r="F54" i="5"/>
  <c r="G54" i="5" s="1"/>
  <c r="F53" i="5"/>
  <c r="G53" i="5" s="1"/>
  <c r="F36" i="5"/>
  <c r="F41" i="5"/>
  <c r="G41" i="5" s="1"/>
</calcChain>
</file>

<file path=xl/sharedStrings.xml><?xml version="1.0" encoding="utf-8"?>
<sst xmlns="http://schemas.openxmlformats.org/spreadsheetml/2006/main" count="2023" uniqueCount="551">
  <si>
    <t>Block Type</t>
  </si>
  <si>
    <t>384-Well Block</t>
  </si>
  <si>
    <t xml:space="preserve">Calibration Background is expired </t>
  </si>
  <si>
    <t>Calibration Background performed on</t>
  </si>
  <si>
    <t>Calibration Normalization FAM-ROX is expired</t>
  </si>
  <si>
    <t>No</t>
  </si>
  <si>
    <t>Calibration Normalization FAM-ROX performed on</t>
  </si>
  <si>
    <t>Calibration Normalization VIC-ROX is expired</t>
  </si>
  <si>
    <t>Calibration Normalization VIC-ROX performed on</t>
  </si>
  <si>
    <t>Calibration Pure Dye FAM is expired</t>
  </si>
  <si>
    <t>Calibration Pure Dye FAM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</si>
  <si>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</si>
  <si>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</si>
  <si>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</si>
  <si>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</si>
  <si>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</si>
  <si>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</si>
  <si>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</si>
  <si>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</si>
  <si>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</si>
  <si>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</si>
  <si>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</si>
  <si>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</si>
  <si>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</si>
  <si>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</si>
  <si>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</si>
  <si>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</si>
  <si>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</si>
  <si>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Experiment Barcode</t>
  </si>
  <si>
    <t>Experiment Comment</t>
  </si>
  <si>
    <t>Experiment File Name</t>
  </si>
  <si>
    <t>Experiment Name</t>
  </si>
  <si>
    <t>Experiment Run End Time</t>
  </si>
  <si>
    <t>Experiment Type</t>
  </si>
  <si>
    <t>Standard Curve</t>
  </si>
  <si>
    <t>Instrument Name</t>
  </si>
  <si>
    <t>HotPants</t>
  </si>
  <si>
    <t>Instrument Serial Number</t>
  </si>
  <si>
    <t>278871706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</si>
  <si>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</si>
  <si>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</si>
  <si>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</si>
  <si>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</si>
  <si>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</si>
  <si>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</si>
  <si>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</si>
  <si>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</si>
  <si>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</si>
  <si>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2</t>
  </si>
  <si>
    <t>User Name</t>
  </si>
  <si>
    <t>Well Position</t>
  </si>
  <si>
    <t>Sample Name</t>
  </si>
  <si>
    <t>Target Name</t>
  </si>
  <si>
    <t>CT</t>
  </si>
  <si>
    <t>A1</t>
  </si>
  <si>
    <t>Undetermined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</si>
  <si>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</si>
  <si>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</si>
  <si>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</si>
  <si>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</si>
  <si>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</si>
  <si>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</si>
  <si>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</si>
  <si>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</si>
  <si>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</si>
  <si>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</si>
  <si>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</si>
  <si>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</si>
  <si>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</si>
  <si>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</si>
  <si>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</si>
  <si>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</si>
  <si>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</si>
  <si>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</si>
  <si>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</si>
  <si>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</si>
  <si>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</si>
  <si>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</si>
  <si>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</si>
  <si>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</si>
  <si>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</si>
  <si>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</si>
  <si>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</si>
  <si>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</si>
  <si>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</si>
  <si>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</si>
  <si>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</si>
  <si>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</si>
  <si>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</si>
  <si>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</si>
  <si>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</si>
  <si>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</si>
  <si>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</si>
  <si>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</si>
  <si>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</si>
  <si>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</si>
  <si>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</si>
  <si>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</si>
  <si>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</si>
  <si>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</si>
  <si>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</si>
  <si>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</si>
  <si>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</si>
  <si>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</si>
  <si>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</si>
  <si>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</si>
  <si>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</si>
  <si>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</si>
  <si>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</si>
  <si>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</si>
  <si>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</si>
  <si>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</si>
  <si>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</si>
  <si>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</si>
  <si>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</si>
  <si>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</si>
  <si>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</si>
  <si>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</si>
  <si>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</si>
  <si>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</si>
  <si>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</si>
  <si>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</si>
  <si>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</si>
  <si>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</si>
  <si>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</si>
  <si>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</si>
  <si>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</si>
  <si>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</si>
  <si>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</si>
  <si>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</si>
  <si>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</si>
  <si>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</si>
  <si>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</si>
  <si>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</si>
  <si>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</si>
  <si>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</si>
  <si>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</si>
  <si>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</si>
  <si>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</si>
  <si>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</si>
  <si>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</si>
  <si>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</si>
  <si>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</si>
  <si>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</si>
  <si>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</si>
  <si>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</si>
  <si>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</si>
  <si>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</si>
  <si>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</si>
  <si>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</si>
  <si>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</si>
  <si>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</si>
  <si>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</si>
  <si>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</si>
  <si>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</si>
  <si>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</si>
  <si>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</si>
  <si>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</si>
  <si>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</si>
  <si>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</si>
  <si>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</si>
  <si>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</si>
  <si>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</si>
  <si>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</si>
  <si>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</si>
  <si>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</si>
  <si>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</si>
  <si>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</si>
  <si>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</si>
  <si>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</si>
  <si>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</si>
  <si>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</si>
  <si>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</si>
  <si>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</si>
  <si>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</si>
  <si>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</si>
  <si>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</si>
  <si>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</si>
  <si>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</si>
  <si>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</si>
  <si>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</si>
  <si>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</si>
  <si>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</si>
  <si>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</si>
  <si>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</si>
  <si>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</si>
  <si>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</si>
  <si>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</si>
  <si>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</si>
  <si>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</si>
  <si>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</si>
  <si>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</si>
  <si>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</si>
  <si>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</si>
  <si>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</si>
  <si>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</si>
  <si>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</si>
  <si>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</si>
  <si>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</si>
  <si>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</si>
  <si>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</si>
  <si>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</si>
  <si>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</si>
  <si>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</si>
  <si>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</si>
  <si>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</si>
  <si>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</si>
  <si>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</si>
  <si>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</si>
  <si>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</si>
  <si>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</si>
  <si>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</si>
  <si>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</si>
  <si>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</si>
  <si>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</si>
  <si>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</si>
  <si>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</si>
  <si>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</si>
  <si>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</si>
  <si>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</si>
  <si>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</si>
  <si>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</si>
  <si>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</si>
  <si>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</si>
  <si>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</si>
  <si>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</si>
  <si>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</si>
  <si>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</si>
  <si>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</si>
  <si>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</si>
  <si>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</si>
  <si>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</si>
  <si>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</si>
  <si>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</si>
  <si>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</si>
  <si>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</si>
  <si>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</si>
  <si>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</si>
  <si>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</si>
  <si>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</si>
  <si>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</si>
  <si>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</si>
  <si>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</si>
  <si>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</si>
  <si>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</si>
  <si>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</si>
  <si>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</si>
  <si>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</si>
  <si>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</si>
  <si>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</si>
  <si>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</si>
  <si>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</si>
  <si>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</si>
  <si>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</si>
  <si>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</si>
  <si>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</si>
  <si>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</si>
  <si>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</si>
  <si>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</si>
  <si>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</si>
  <si>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</si>
  <si>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</si>
  <si>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</si>
  <si>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</si>
  <si>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</si>
  <si>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</si>
  <si>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</si>
  <si>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</si>
  <si>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</si>
  <si>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</si>
  <si>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</si>
  <si>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</si>
  <si>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</si>
  <si>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</si>
  <si>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</si>
  <si>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</si>
  <si>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</si>
  <si>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</si>
  <si>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</si>
  <si>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</si>
  <si>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</si>
  <si>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</si>
  <si>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</si>
  <si>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</si>
  <si>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</si>
  <si>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</si>
  <si>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</si>
  <si>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</si>
  <si>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</si>
  <si>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</si>
  <si>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</si>
  <si>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</si>
  <si>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</si>
  <si>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</si>
  <si>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</si>
  <si>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</si>
  <si>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</si>
  <si>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</si>
  <si>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</si>
  <si>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</si>
  <si>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</si>
  <si>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</si>
  <si>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</si>
  <si>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</si>
  <si>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</si>
  <si>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</si>
  <si>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</si>
  <si>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</si>
  <si>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</si>
  <si>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</si>
  <si>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</si>
  <si>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</si>
  <si>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</si>
  <si>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</si>
  <si>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</si>
  <si>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</si>
  <si>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</si>
  <si>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</si>
  <si>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</si>
  <si>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</si>
  <si>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</si>
  <si>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</si>
  <si>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</si>
  <si>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</si>
  <si>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</si>
  <si>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</si>
  <si>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</si>
  <si>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</si>
  <si>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</si>
  <si>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</si>
  <si>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</si>
  <si>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</si>
  <si>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</si>
  <si>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</si>
  <si>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</si>
  <si>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</si>
  <si>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</si>
  <si>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</si>
  <si>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</si>
  <si>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</si>
  <si>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</si>
  <si>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</si>
  <si>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</si>
  <si>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</si>
  <si>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</si>
  <si>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</si>
  <si>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</si>
  <si>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</si>
  <si>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</si>
  <si>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</si>
  <si>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</si>
  <si>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</si>
  <si>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</si>
  <si>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</si>
  <si>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</si>
  <si>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</si>
  <si>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</si>
  <si>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</si>
  <si>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</si>
  <si>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</si>
  <si>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</si>
  <si>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</si>
  <si>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</si>
  <si>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</si>
  <si>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</si>
  <si>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</si>
  <si>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</si>
  <si>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</si>
  <si>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</si>
  <si>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</si>
  <si>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</si>
  <si>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</si>
  <si>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</si>
  <si>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</si>
  <si>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</si>
  <si>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</si>
  <si>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</si>
  <si>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</si>
  <si>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</si>
  <si>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</si>
  <si>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</si>
  <si>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</si>
  <si>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</si>
  <si>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</si>
  <si>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</si>
  <si>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</si>
  <si>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</si>
  <si>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</si>
  <si>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</si>
  <si>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</si>
  <si>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</si>
  <si>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</si>
  <si>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</si>
  <si>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</si>
  <si>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</si>
  <si>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</si>
  <si>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</si>
  <si>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</si>
  <si>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</si>
  <si>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</si>
  <si>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</si>
  <si>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</si>
  <si>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</si>
  <si>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</si>
  <si>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</si>
  <si>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</si>
  <si>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</si>
  <si>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</si>
  <si>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</si>
  <si>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</si>
  <si>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</si>
  <si>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</si>
  <si>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</si>
  <si>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</si>
  <si>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</si>
  <si>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Blank 1.a</t>
  </si>
  <si>
    <t>Blank 1.b</t>
  </si>
  <si>
    <t>Blank 1.c</t>
  </si>
  <si>
    <t>STD 10a</t>
  </si>
  <si>
    <t>STD 10b</t>
  </si>
  <si>
    <t>STD 10c</t>
  </si>
  <si>
    <t>STD 20a</t>
  </si>
  <si>
    <t>STD 20b</t>
  </si>
  <si>
    <t>STD 20c</t>
  </si>
  <si>
    <t>STD 40a</t>
  </si>
  <si>
    <t>STD 40b</t>
  </si>
  <si>
    <t>STD 40c</t>
  </si>
  <si>
    <t>STD 80a</t>
  </si>
  <si>
    <t>STD 80b</t>
  </si>
  <si>
    <t>STD 80c</t>
  </si>
  <si>
    <t>STD 160a</t>
  </si>
  <si>
    <t>STD 160b</t>
  </si>
  <si>
    <t>STD 160c</t>
  </si>
  <si>
    <t>STD 320a</t>
  </si>
  <si>
    <t>STD 320b</t>
  </si>
  <si>
    <t>STD 320c</t>
  </si>
  <si>
    <t xml:space="preserve">Well </t>
  </si>
  <si>
    <r>
      <t>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 xml:space="preserve"> from reader</t>
    </r>
  </si>
  <si>
    <r>
      <t>Corrected 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s</t>
    </r>
  </si>
  <si>
    <t>Standard dilution</t>
  </si>
  <si>
    <t>Sample</t>
  </si>
  <si>
    <t>Av CT</t>
  </si>
  <si>
    <t>SD CT</t>
  </si>
  <si>
    <t>CV CT</t>
  </si>
  <si>
    <t>Dilution</t>
  </si>
  <si>
    <t>log dilution</t>
  </si>
  <si>
    <t>Slope</t>
  </si>
  <si>
    <t>Efficiency</t>
  </si>
  <si>
    <t>SD Ct</t>
  </si>
  <si>
    <t>Av Ct</t>
  </si>
  <si>
    <t>CV Ct</t>
  </si>
  <si>
    <t>delta Ct (to STD 20)</t>
  </si>
  <si>
    <t xml:space="preserve"> Average Ct</t>
  </si>
  <si>
    <t>STDEV</t>
  </si>
  <si>
    <t>geometric mean</t>
  </si>
  <si>
    <t>deltadelta Ct</t>
  </si>
  <si>
    <t>10-06-2021</t>
  </si>
  <si>
    <t/>
  </si>
  <si>
    <t>B2M</t>
  </si>
  <si>
    <t>HMBS</t>
  </si>
  <si>
    <t>YWHA2</t>
  </si>
  <si>
    <t>01-13-2022</t>
  </si>
  <si>
    <t>C1.a</t>
  </si>
  <si>
    <t>C1.b</t>
  </si>
  <si>
    <t>C1.c</t>
  </si>
  <si>
    <t>C2.a</t>
  </si>
  <si>
    <t>C2.b</t>
  </si>
  <si>
    <t>C2.c</t>
  </si>
  <si>
    <t>C3.a</t>
  </si>
  <si>
    <t>C3.b</t>
  </si>
  <si>
    <t>C3.c</t>
  </si>
  <si>
    <t>C4.a</t>
  </si>
  <si>
    <t>C4.b</t>
  </si>
  <si>
    <t>C4.c</t>
  </si>
  <si>
    <t>C5.a</t>
  </si>
  <si>
    <t>C5.b</t>
  </si>
  <si>
    <t>C5.c</t>
  </si>
  <si>
    <t>C6.a</t>
  </si>
  <si>
    <t>C6.b</t>
  </si>
  <si>
    <t>C6.c</t>
  </si>
  <si>
    <t>C7.a</t>
  </si>
  <si>
    <t>C7.b</t>
  </si>
  <si>
    <t>C7.c</t>
  </si>
  <si>
    <t>C8.a</t>
  </si>
  <si>
    <t>C8.b</t>
  </si>
  <si>
    <t>C8.c</t>
  </si>
  <si>
    <t>C9.a</t>
  </si>
  <si>
    <t>C9.b</t>
  </si>
  <si>
    <t>C9.c</t>
  </si>
  <si>
    <t>O1.a</t>
  </si>
  <si>
    <t>O1.b</t>
  </si>
  <si>
    <t>O2.a</t>
  </si>
  <si>
    <t>O2.b</t>
  </si>
  <si>
    <t>O3.a</t>
  </si>
  <si>
    <t>O3.b</t>
  </si>
  <si>
    <t>O4.a</t>
  </si>
  <si>
    <t>O4.b</t>
  </si>
  <si>
    <t>O5.a</t>
  </si>
  <si>
    <t>O5.b</t>
  </si>
  <si>
    <t>O6.a</t>
  </si>
  <si>
    <t>O6.b</t>
  </si>
  <si>
    <t>O7.a</t>
  </si>
  <si>
    <t>O7.b</t>
  </si>
  <si>
    <t>O8.a</t>
  </si>
  <si>
    <t>O8.b</t>
  </si>
  <si>
    <t>O9.a</t>
  </si>
  <si>
    <t>O9.b</t>
  </si>
  <si>
    <t>O1.c</t>
  </si>
  <si>
    <t>O2.c</t>
  </si>
  <si>
    <t>O3.c</t>
  </si>
  <si>
    <t>O4.c</t>
  </si>
  <si>
    <t>O5.c</t>
  </si>
  <si>
    <t>O6.c</t>
  </si>
  <si>
    <t>O7.c</t>
  </si>
  <si>
    <t>O8.c</t>
  </si>
  <si>
    <t>O9.c</t>
  </si>
  <si>
    <t>P1.a</t>
  </si>
  <si>
    <t>P1.b</t>
  </si>
  <si>
    <t>P1.c</t>
  </si>
  <si>
    <t>P2.a</t>
  </si>
  <si>
    <t>P2.b</t>
  </si>
  <si>
    <t>P2.c</t>
  </si>
  <si>
    <t>P3.a</t>
  </si>
  <si>
    <t>P3.b</t>
  </si>
  <si>
    <t>P3.c</t>
  </si>
  <si>
    <t>P4.a</t>
  </si>
  <si>
    <t>P4.b</t>
  </si>
  <si>
    <t>P4.c</t>
  </si>
  <si>
    <t>P5.a</t>
  </si>
  <si>
    <t>P5.b</t>
  </si>
  <si>
    <t>P5.c</t>
  </si>
  <si>
    <t>P6.a</t>
  </si>
  <si>
    <t>P6.b</t>
  </si>
  <si>
    <t>P6.c</t>
  </si>
  <si>
    <t>P7.a</t>
  </si>
  <si>
    <t>P7.b</t>
  </si>
  <si>
    <t>P7.c</t>
  </si>
  <si>
    <t>P8.a</t>
  </si>
  <si>
    <t>P8.b</t>
  </si>
  <si>
    <t>P8.c</t>
  </si>
  <si>
    <t>P9.a</t>
  </si>
  <si>
    <t>P9.b</t>
  </si>
  <si>
    <t>P9.c</t>
  </si>
  <si>
    <t xml:space="preserve"> </t>
  </si>
  <si>
    <t>2022-02-24 12:40:15 PM GMT</t>
  </si>
  <si>
    <t>D:\Users\Administrator\Desktop\FELIX\Felix OPLA vs POLA 3.eds</t>
  </si>
  <si>
    <t>Felix OPLA vs POLA 3</t>
  </si>
  <si>
    <t>2022-02-24 13:35:26 PM GMT</t>
  </si>
  <si>
    <t>ATG5</t>
  </si>
  <si>
    <t>ATG7</t>
  </si>
  <si>
    <t>ATG10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</si>
</sst>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%"/>
    <numFmt numFmtId="167" formatCode="0.00000"/>
  </numFmts>
  <fonts count="10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4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2" applyFont="1" applyFill="1" applyAlignment="1">
      <alignment horizontal="center" vertical="center"/>
    </xf>
    <xf numFmtId="0" fontId="7" fillId="0" borderId="0" xfId="3" applyFont="1" applyFill="1"/>
    <xf numFmtId="165" fontId="7" fillId="0" borderId="0" xfId="3" applyNumberFormat="1" applyFont="1" applyFill="1"/>
    <xf numFmtId="165" fontId="7" fillId="7" borderId="0" xfId="3" applyNumberFormat="1" applyFont="1" applyFill="1"/>
    <xf numFmtId="0" fontId="4" fillId="0" borderId="0" xfId="0" applyFont="1" applyFill="1"/>
    <xf numFmtId="2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65" fontId="0" fillId="0" borderId="0" xfId="0" applyNumberFormat="1"/>
    <xf numFmtId="0" fontId="1" fillId="0" borderId="0" xfId="0" applyFont="1"/>
    <xf numFmtId="2" fontId="0" fillId="0" borderId="0" xfId="0" applyNumberFormat="1" applyFont="1"/>
    <xf numFmtId="0" fontId="0" fillId="0" borderId="0" xfId="0" applyFill="1"/>
  </cellXfs>
  <cellStyles count="12">
    <cellStyle name="20% - Accent1 2" xfId="8" xr:uid="{00000000-0005-0000-0000-000000000000}"/>
    <cellStyle name="20% - Accent1 5" xfId="3" xr:uid="{00000000-0005-0000-0000-000001000000}"/>
    <cellStyle name="20% - Accent2 2" xfId="4" xr:uid="{00000000-0005-0000-0000-000002000000}"/>
    <cellStyle name="20% - Accent2 3" xfId="10" xr:uid="{00000000-0005-0000-0000-000003000000}"/>
    <cellStyle name="20% - Accent3 4" xfId="9" xr:uid="{00000000-0005-0000-0000-000004000000}"/>
    <cellStyle name="20% - Accent4 5" xfId="11" xr:uid="{00000000-0005-0000-0000-000005000000}"/>
    <cellStyle name="20% - Accent6 2" xfId="5" xr:uid="{00000000-0005-0000-0000-000006000000}"/>
    <cellStyle name="Normal" xfId="0" builtinId="0"/>
    <cellStyle name="Normal 6" xfId="6" xr:uid="{00000000-0005-0000-0000-000008000000}"/>
    <cellStyle name="Normal 7" xfId="2" xr:uid="{00000000-0005-0000-0000-000009000000}"/>
    <cellStyle name="Normal 8" xfId="7" xr:uid="{00000000-0005-0000-0000-00000A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'ATG5'!$B$2:$B$7</c:f>
              <c:numCache>
                <c:formatCode>General</c:formatCode>
                <c:ptCount val="6"/>
                <c:pt idx="0">
                  <c:v>26.454331715901692</c:v>
                </c:pt>
                <c:pt idx="1">
                  <c:v>27.547679265340168</c:v>
                </c:pt>
                <c:pt idx="2">
                  <c:v>28.690064112345379</c:v>
                </c:pt>
                <c:pt idx="3">
                  <c:v>29.917539596557617</c:v>
                </c:pt>
                <c:pt idx="4">
                  <c:v>31.090070088704426</c:v>
                </c:pt>
                <c:pt idx="5">
                  <c:v>32.32537841796875</c:v>
                </c:pt>
              </c:numCache>
            </c:numRef>
          </c:xVal>
          <c:yVal>
            <c:numRef>
              <c:f>'ATG5'!$F$2:$F$7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9-49B1-9B28-844322B0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'ATG7'!$B$2:$B$7</c:f>
              <c:numCache>
                <c:formatCode>General</c:formatCode>
                <c:ptCount val="6"/>
                <c:pt idx="0">
                  <c:v>27.155117034912109</c:v>
                </c:pt>
                <c:pt idx="1">
                  <c:v>28.420527776082356</c:v>
                </c:pt>
                <c:pt idx="2">
                  <c:v>29.413422902425129</c:v>
                </c:pt>
                <c:pt idx="3">
                  <c:v>30.774197260538738</c:v>
                </c:pt>
                <c:pt idx="4">
                  <c:v>31.777816136678059</c:v>
                </c:pt>
                <c:pt idx="5">
                  <c:v>32.55586051940918</c:v>
                </c:pt>
              </c:numCache>
            </c:numRef>
          </c:xVal>
          <c:yVal>
            <c:numRef>
              <c:f>'ATG7'!$F$2:$F$7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B-4D64-8DD1-8DD125CE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'ATG10'!$B$2:$B$7</c:f>
              <c:numCache>
                <c:formatCode>General</c:formatCode>
                <c:ptCount val="6"/>
                <c:pt idx="0">
                  <c:v>27.799346923828125</c:v>
                </c:pt>
                <c:pt idx="1">
                  <c:v>28.945344924926758</c:v>
                </c:pt>
                <c:pt idx="2">
                  <c:v>29.874709447224934</c:v>
                </c:pt>
                <c:pt idx="3">
                  <c:v>31.021127065022785</c:v>
                </c:pt>
                <c:pt idx="4">
                  <c:v>31.881661732991535</c:v>
                </c:pt>
                <c:pt idx="5">
                  <c:v>33.336550394694008</c:v>
                </c:pt>
              </c:numCache>
            </c:numRef>
          </c:xVal>
          <c:yVal>
            <c:numRef>
              <c:f>'ATG10'!$F$2:$F$7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627-B528-CA17D8FB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summary'!$B$4:$B$43</c:f>
              <c:numCache>
                <c:formatCode>0.00</c:formatCode>
                <c:ptCount val="40"/>
                <c:pt idx="0">
                  <c:v>0.4263927293810692</c:v>
                </c:pt>
                <c:pt idx="1">
                  <c:v>0.31512549785862698</c:v>
                </c:pt>
                <c:pt idx="2">
                  <c:v>0.45273714210549171</c:v>
                </c:pt>
                <c:pt idx="3">
                  <c:v>0.3829501772573668</c:v>
                </c:pt>
                <c:pt idx="4">
                  <c:v>0.42833087959300731</c:v>
                </c:pt>
                <c:pt idx="5">
                  <c:v>0.35793999756923628</c:v>
                </c:pt>
                <c:pt idx="6">
                  <c:v>0.37340238439133594</c:v>
                </c:pt>
                <c:pt idx="7">
                  <c:v>0.35503258331734205</c:v>
                </c:pt>
                <c:pt idx="8">
                  <c:v>0.41592618918148794</c:v>
                </c:pt>
                <c:pt idx="9">
                  <c:v>0.45842475302599439</c:v>
                </c:pt>
                <c:pt idx="10">
                  <c:v>0.43374487761100955</c:v>
                </c:pt>
                <c:pt idx="11">
                  <c:v>0.40114007176242378</c:v>
                </c:pt>
                <c:pt idx="12">
                  <c:v>0.38460694456052319</c:v>
                </c:pt>
                <c:pt idx="13">
                  <c:v>0.39546471705695735</c:v>
                </c:pt>
                <c:pt idx="14">
                  <c:v>0.41179439627934949</c:v>
                </c:pt>
                <c:pt idx="15">
                  <c:v>0.27876595323904763</c:v>
                </c:pt>
                <c:pt idx="16">
                  <c:v>0.53438173502337782</c:v>
                </c:pt>
                <c:pt idx="17">
                  <c:v>0.44651974869658745</c:v>
                </c:pt>
                <c:pt idx="18">
                  <c:v>0.5215632857774023</c:v>
                </c:pt>
                <c:pt idx="19">
                  <c:v>0.40358335376353621</c:v>
                </c:pt>
                <c:pt idx="20">
                  <c:v>0.35086902471059467</c:v>
                </c:pt>
                <c:pt idx="21">
                  <c:v>0.44820160291616035</c:v>
                </c:pt>
                <c:pt idx="22">
                  <c:v>0.46135156132242333</c:v>
                </c:pt>
                <c:pt idx="23">
                  <c:v>0.36911988654952566</c:v>
                </c:pt>
                <c:pt idx="24">
                  <c:v>0.36964436422123836</c:v>
                </c:pt>
                <c:pt idx="25">
                  <c:v>0.50392046075908659</c:v>
                </c:pt>
                <c:pt idx="26">
                  <c:v>0.24389984093536096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6-48D4-9F87-ECEF8C5B1E1C}"/>
            </c:ext>
          </c:extLst>
        </c:ser>
        <c:ser>
          <c:idx val="1"/>
          <c:order val="1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summary'!$C$4:$C$43</c:f>
              <c:numCache>
                <c:formatCode>0.00</c:formatCode>
                <c:ptCount val="40"/>
                <c:pt idx="0">
                  <c:v>0.35252626341172855</c:v>
                </c:pt>
                <c:pt idx="1">
                  <c:v>0.44111181257832188</c:v>
                </c:pt>
                <c:pt idx="2">
                  <c:v>0.44945493334651887</c:v>
                </c:pt>
                <c:pt idx="3">
                  <c:v>0.46151957246172637</c:v>
                </c:pt>
                <c:pt idx="4">
                  <c:v>0.4233578833199082</c:v>
                </c:pt>
                <c:pt idx="5">
                  <c:v>0.38296223792145484</c:v>
                </c:pt>
                <c:pt idx="6">
                  <c:v>0.48233808107194415</c:v>
                </c:pt>
                <c:pt idx="7">
                  <c:v>0.61615231239907375</c:v>
                </c:pt>
                <c:pt idx="8">
                  <c:v>0.62216433510012503</c:v>
                </c:pt>
                <c:pt idx="9">
                  <c:v>0.43456039766823429</c:v>
                </c:pt>
                <c:pt idx="10">
                  <c:v>0.32980760784732899</c:v>
                </c:pt>
                <c:pt idx="11">
                  <c:v>0.42898410785963353</c:v>
                </c:pt>
                <c:pt idx="12">
                  <c:v>0.43705016982621253</c:v>
                </c:pt>
                <c:pt idx="13">
                  <c:v>0.41032003458357952</c:v>
                </c:pt>
                <c:pt idx="14">
                  <c:v>0.46220373689092681</c:v>
                </c:pt>
                <c:pt idx="15">
                  <c:v>0.45310017409530867</c:v>
                </c:pt>
                <c:pt idx="16">
                  <c:v>0.54285522939822561</c:v>
                </c:pt>
                <c:pt idx="17">
                  <c:v>0.4563205644560675</c:v>
                </c:pt>
                <c:pt idx="18">
                  <c:v>0.50154744260201822</c:v>
                </c:pt>
                <c:pt idx="19">
                  <c:v>0.42014964529139992</c:v>
                </c:pt>
                <c:pt idx="20">
                  <c:v>0.34358897258616505</c:v>
                </c:pt>
                <c:pt idx="21">
                  <c:v>0.40254511875348148</c:v>
                </c:pt>
                <c:pt idx="22">
                  <c:v>0.5266015647207386</c:v>
                </c:pt>
                <c:pt idx="23">
                  <c:v>0.40468721873428687</c:v>
                </c:pt>
                <c:pt idx="24">
                  <c:v>0.50859191167028639</c:v>
                </c:pt>
                <c:pt idx="25">
                  <c:v>0.42418869891589794</c:v>
                </c:pt>
                <c:pt idx="26">
                  <c:v>0.56725695609248283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6-48D4-9F87-ECEF8C5B1E1C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summary'!$D$4:$D$43</c:f>
              <c:numCache>
                <c:formatCode>0.00</c:formatCode>
                <c:ptCount val="40"/>
                <c:pt idx="0">
                  <c:v>0.60858535781331602</c:v>
                </c:pt>
                <c:pt idx="1">
                  <c:v>0.52650694217891292</c:v>
                </c:pt>
                <c:pt idx="2">
                  <c:v>0.56496674937763469</c:v>
                </c:pt>
                <c:pt idx="3">
                  <c:v>0.54473382964366568</c:v>
                </c:pt>
                <c:pt idx="4">
                  <c:v>0.53523552420816256</c:v>
                </c:pt>
                <c:pt idx="5">
                  <c:v>0.57185694490684691</c:v>
                </c:pt>
                <c:pt idx="6">
                  <c:v>0.51357491955429913</c:v>
                </c:pt>
                <c:pt idx="7">
                  <c:v>0.73880118711128706</c:v>
                </c:pt>
                <c:pt idx="8">
                  <c:v>0.63444703130188929</c:v>
                </c:pt>
                <c:pt idx="9">
                  <c:v>0.55125832995824431</c:v>
                </c:pt>
                <c:pt idx="10">
                  <c:v>0.48402583318593206</c:v>
                </c:pt>
                <c:pt idx="11">
                  <c:v>0.5954090031020679</c:v>
                </c:pt>
                <c:pt idx="12">
                  <c:v>0.68012313086699372</c:v>
                </c:pt>
                <c:pt idx="13">
                  <c:v>0.53104973407749689</c:v>
                </c:pt>
                <c:pt idx="14">
                  <c:v>0.58844570778454464</c:v>
                </c:pt>
                <c:pt idx="15">
                  <c:v>0.50035950798811635</c:v>
                </c:pt>
                <c:pt idx="16">
                  <c:v>0.65415060642880629</c:v>
                </c:pt>
                <c:pt idx="17">
                  <c:v>0.62138266724811442</c:v>
                </c:pt>
                <c:pt idx="18">
                  <c:v>0.62159443516135171</c:v>
                </c:pt>
                <c:pt idx="19">
                  <c:v>0.61320818639350694</c:v>
                </c:pt>
                <c:pt idx="20">
                  <c:v>0.4945847920832751</c:v>
                </c:pt>
                <c:pt idx="21">
                  <c:v>0.54062764873146252</c:v>
                </c:pt>
                <c:pt idx="22">
                  <c:v>0.65653135622649028</c:v>
                </c:pt>
                <c:pt idx="23">
                  <c:v>0.55027134516921539</c:v>
                </c:pt>
                <c:pt idx="24">
                  <c:v>0.55080792646133947</c:v>
                </c:pt>
                <c:pt idx="25">
                  <c:v>0.6564932342266091</c:v>
                </c:pt>
                <c:pt idx="26">
                  <c:v>0.75712783711723308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6-48D4-9F87-ECEF8C5B1E1C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6-48D4-9F87-ECEF8C5B1E1C}"/>
            </c:ext>
          </c:extLst>
        </c:ser>
        <c:ser>
          <c:idx val="4"/>
          <c:order val="4"/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summary'!$E$4:$E$30</c:f>
              <c:numCache>
                <c:formatCode>0.00</c:formatCode>
                <c:ptCount val="27"/>
                <c:pt idx="0">
                  <c:v>0.45058243317918456</c:v>
                </c:pt>
                <c:pt idx="1">
                  <c:v>0.41829124836635861</c:v>
                </c:pt>
                <c:pt idx="2">
                  <c:v>0.48624116331946227</c:v>
                </c:pt>
                <c:pt idx="3">
                  <c:v>0.45832362958721334</c:v>
                </c:pt>
                <c:pt idx="4">
                  <c:v>0.45956187094870876</c:v>
                </c:pt>
                <c:pt idx="5">
                  <c:v>0.4279744682291246</c:v>
                </c:pt>
                <c:pt idx="6">
                  <c:v>0.45224886087578242</c:v>
                </c:pt>
                <c:pt idx="7">
                  <c:v>0.54470491404753041</c:v>
                </c:pt>
                <c:pt idx="8">
                  <c:v>0.54756907959345913</c:v>
                </c:pt>
                <c:pt idx="9">
                  <c:v>0.47887752708520864</c:v>
                </c:pt>
                <c:pt idx="10">
                  <c:v>0.41063363847723999</c:v>
                </c:pt>
                <c:pt idx="11">
                  <c:v>0.4679335842643591</c:v>
                </c:pt>
                <c:pt idx="12">
                  <c:v>0.48533914434315129</c:v>
                </c:pt>
                <c:pt idx="13">
                  <c:v>0.44169439365878643</c:v>
                </c:pt>
                <c:pt idx="14">
                  <c:v>0.48202928953778679</c:v>
                </c:pt>
                <c:pt idx="15">
                  <c:v>0.39832604620100848</c:v>
                </c:pt>
                <c:pt idx="16">
                  <c:v>0.57465138789348824</c:v>
                </c:pt>
                <c:pt idx="17">
                  <c:v>0.50213822440021894</c:v>
                </c:pt>
                <c:pt idx="18">
                  <c:v>0.54581070624732975</c:v>
                </c:pt>
                <c:pt idx="19">
                  <c:v>0.47023512184144328</c:v>
                </c:pt>
                <c:pt idx="20">
                  <c:v>0.39066844589617944</c:v>
                </c:pt>
                <c:pt idx="21">
                  <c:v>0.46032236332148435</c:v>
                </c:pt>
                <c:pt idx="22">
                  <c:v>0.54232114477437343</c:v>
                </c:pt>
                <c:pt idx="23">
                  <c:v>0.43479840603462372</c:v>
                </c:pt>
                <c:pt idx="24">
                  <c:v>0.46958899073136146</c:v>
                </c:pt>
                <c:pt idx="25">
                  <c:v>0.51965739714350379</c:v>
                </c:pt>
                <c:pt idx="26">
                  <c:v>0.47139704283553019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6-48D4-9F87-ECEF8C5B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31512"/>
        <c:axId val="642832824"/>
      </c:lineChart>
      <c:catAx>
        <c:axId val="64283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2824"/>
        <c:crosses val="autoZero"/>
        <c:auto val="1"/>
        <c:lblAlgn val="ctr"/>
        <c:lblOffset val="100"/>
        <c:noMultiLvlLbl val="0"/>
      </c:catAx>
      <c:valAx>
        <c:axId val="6428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8</xdr:row>
      <xdr:rowOff>28575</xdr:rowOff>
    </xdr:from>
    <xdr:to>
      <xdr:col>5</xdr:col>
      <xdr:colOff>1019175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346709</xdr:colOff>
      <xdr:row>2</xdr:row>
      <xdr:rowOff>100965</xdr:rowOff>
    </xdr:from>
    <xdr:to>
      <xdr:col>18</xdr:col>
      <xdr:colOff>321944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opLeftCell="A40" workbookViewId="0">
      <selection activeCell="G50" sqref="G50"/>
    </sheetView>
  </sheetViews>
  <sheetFormatPr defaultRowHeight="12.75" x14ac:dyDescent="0.2"/>
  <cols>
    <col min="1" max="1" width="42.85546875" bestFit="1" customWidth="1"/>
    <col min="2" max="2" width="28.28515625" bestFit="1" customWidth="1"/>
    <col min="3" max="3" width="11.5703125" bestFit="1" customWidth="1"/>
    <col min="4" max="4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461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456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456</v>
      </c>
    </row>
    <row r="8" spans="1:2" x14ac:dyDescent="0.2">
      <c r="A8" t="s">
        <v>9</v>
      </c>
      <c r="B8" t="s">
        <v>5</v>
      </c>
    </row>
    <row r="9" spans="1:2" x14ac:dyDescent="0.2">
      <c r="A9" t="s">
        <v>10</v>
      </c>
      <c r="B9" t="s">
        <v>456</v>
      </c>
    </row>
    <row r="10" spans="1:2" x14ac:dyDescent="0.2">
      <c r="A10" t="s">
        <v>11</v>
      </c>
      <c r="B10" t="s">
        <v>5</v>
      </c>
    </row>
    <row r="11" spans="1:2" x14ac:dyDescent="0.2">
      <c r="A11" t="s">
        <v>12</v>
      </c>
      <c r="B11" t="s">
        <v>456</v>
      </c>
    </row>
    <row r="12" spans="1:2" x14ac:dyDescent="0.2">
      <c r="A12" t="s">
        <v>13</v>
      </c>
      <c r="B12" t="s">
        <v>5</v>
      </c>
    </row>
    <row r="13" spans="1:2" x14ac:dyDescent="0.2">
      <c r="A13" t="s">
        <v>14</v>
      </c>
      <c r="B13" t="s">
        <v>456</v>
      </c>
    </row>
    <row r="14" spans="1:2" x14ac:dyDescent="0.2">
      <c r="A14" t="s">
        <v>15</v>
      </c>
      <c r="B14" t="s">
        <v>5</v>
      </c>
    </row>
    <row r="15" spans="1:2" x14ac:dyDescent="0.2">
      <c r="A15" t="s">
        <v>16</v>
      </c>
      <c r="B15" t="s">
        <v>456</v>
      </c>
    </row>
    <row r="16" spans="1:2" x14ac:dyDescent="0.2">
      <c r="A16" t="s">
        <v>17</v>
      </c>
      <c r="B16" t="s">
        <v>5</v>
      </c>
    </row>
    <row r="17" spans="1:2" x14ac:dyDescent="0.2">
      <c r="A17" t="s">
        <v>18</v>
      </c>
      <c r="B17" t="s">
        <v>456</v>
      </c>
    </row>
    <row r="18" spans="1:2" x14ac:dyDescent="0.2">
      <c r="A18" t="s">
        <v>19</v>
      </c>
      <c r="B18" t="s">
        <v>5</v>
      </c>
    </row>
    <row r="19" spans="1:2" x14ac:dyDescent="0.2">
      <c r="A19" t="s">
        <v>20</v>
      </c>
      <c r="B19" t="s">
        <v>456</v>
      </c>
    </row>
    <row r="20" spans="1:2" x14ac:dyDescent="0.2">
      <c r="A20" t="s">
        <v>21</v>
      </c>
      <c r="B20" t="s">
        <v>5</v>
      </c>
    </row>
    <row r="21" spans="1:2" x14ac:dyDescent="0.2">
      <c r="A21" t="s">
        <v>22</v>
      </c>
      <c r="B21" t="s">
        <v>456</v>
      </c>
    </row>
    <row r="22" spans="1:2" x14ac:dyDescent="0.2">
      <c r="A22" t="s">
        <v>23</v>
      </c>
      <c r="B22" t="s">
        <v>5</v>
      </c>
    </row>
    <row r="23" spans="1:2" x14ac:dyDescent="0.2">
      <c r="A23" t="s">
        <v>24</v>
      </c>
      <c r="B23" t="s">
        <v>456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27</v>
      </c>
      <c r="B25" t="s">
        <v>544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s="2" customFormat="1" x14ac:dyDescent="0.2">
      <c r="A28" s="2" t="s">
        <v>30</v>
      </c>
      <c r="B28" s="2" t="s">
        <v>545</v>
      </c>
    </row>
    <row r="29" spans="1:2" s="2" customFormat="1" x14ac:dyDescent="0.2">
      <c r="A29" s="2" t="s">
        <v>31</v>
      </c>
      <c r="B29" s="2" t="s">
        <v>546</v>
      </c>
    </row>
    <row r="30" spans="1:2" s="2" customFormat="1" x14ac:dyDescent="0.2">
      <c r="A30" s="2" t="s">
        <v>32</v>
      </c>
      <c r="B30" s="2" t="s">
        <v>547</v>
      </c>
    </row>
    <row r="31" spans="1:2" x14ac:dyDescent="0.2">
      <c r="A31" t="s">
        <v>33</v>
      </c>
      <c r="B31" t="s">
        <v>34</v>
      </c>
    </row>
    <row r="32" spans="1:2" x14ac:dyDescent="0.2">
      <c r="A32" t="s">
        <v>35</v>
      </c>
      <c r="B32" t="s">
        <v>36</v>
      </c>
    </row>
    <row r="33" spans="1:8" x14ac:dyDescent="0.2">
      <c r="A33" t="s">
        <v>37</v>
      </c>
      <c r="B33" t="s">
        <v>38</v>
      </c>
    </row>
    <row r="34" spans="1:8" x14ac:dyDescent="0.2">
      <c r="A34" t="s">
        <v>39</v>
      </c>
      <c r="B34" t="s">
        <v>40</v>
      </c>
    </row>
    <row r="35" spans="1:8" x14ac:dyDescent="0.2">
      <c r="A35" t="s">
        <v>41</v>
      </c>
      <c r="B35" t="s">
        <v>42</v>
      </c>
    </row>
    <row r="36" spans="1:8" x14ac:dyDescent="0.2">
      <c r="A36" t="s">
        <v>43</v>
      </c>
      <c r="B36" t="s">
        <v>44</v>
      </c>
    </row>
    <row r="37" spans="1:8" x14ac:dyDescent="0.2">
      <c r="A37" t="s">
        <v>45</v>
      </c>
      <c r="B37" t="s">
        <v>46</v>
      </c>
    </row>
    <row r="38" spans="1:8" x14ac:dyDescent="0.2">
      <c r="A38" t="s">
        <v>47</v>
      </c>
      <c r="B38" t="s">
        <v>48</v>
      </c>
    </row>
    <row r="39" spans="1:8" x14ac:dyDescent="0.2">
      <c r="A39" t="s">
        <v>49</v>
      </c>
    </row>
    <row r="41" spans="1:8" x14ac:dyDescent="0.2">
      <c r="A41" t="s">
        <v>50</v>
      </c>
      <c r="B41" t="s">
        <v>51</v>
      </c>
      <c r="C41" t="s">
        <v>52</v>
      </c>
      <c r="D41" t="s">
        <v>53</v>
      </c>
      <c r="H41" t="s">
        <v>51</v>
      </c>
    </row>
    <row r="42" spans="1:8" x14ac:dyDescent="0.2">
      <c r="A42" t="s">
        <v>54</v>
      </c>
      <c r="B42" s="3" t="s">
        <v>415</v>
      </c>
      <c r="C42" t="s">
        <v>548</v>
      </c>
      <c r="D42" s="1" t="s">
        <v>55</v>
      </c>
      <c r="H42" s="3" t="s">
        <v>415</v>
      </c>
    </row>
    <row r="43" spans="1:8" x14ac:dyDescent="0.2">
      <c r="A43" t="s">
        <v>56</v>
      </c>
      <c r="B43" s="3" t="s">
        <v>416</v>
      </c>
      <c r="C43" t="s">
        <v>548</v>
      </c>
      <c r="D43" t="s">
        <v>55</v>
      </c>
      <c r="H43" s="3" t="s">
        <v>416</v>
      </c>
    </row>
    <row r="44" spans="1:8" x14ac:dyDescent="0.2">
      <c r="A44" t="s">
        <v>57</v>
      </c>
      <c r="B44" s="3" t="s">
        <v>417</v>
      </c>
      <c r="C44" t="s">
        <v>548</v>
      </c>
      <c r="D44" t="s">
        <v>55</v>
      </c>
      <c r="H44" s="3" t="s">
        <v>417</v>
      </c>
    </row>
    <row r="45" spans="1:8" x14ac:dyDescent="0.2">
      <c r="A45" t="s">
        <v>58</v>
      </c>
      <c r="B45" s="3" t="s">
        <v>418</v>
      </c>
      <c r="C45" t="s">
        <v>548</v>
      </c>
      <c r="D45" s="1">
        <v>26.391090393066406</v>
      </c>
      <c r="H45" s="3" t="s">
        <v>418</v>
      </c>
    </row>
    <row r="46" spans="1:8" x14ac:dyDescent="0.2">
      <c r="A46" t="s">
        <v>59</v>
      </c>
      <c r="B46" s="3" t="s">
        <v>419</v>
      </c>
      <c r="C46" t="s">
        <v>548</v>
      </c>
      <c r="D46" s="1">
        <v>26.487525939941406</v>
      </c>
      <c r="H46" s="3" t="s">
        <v>419</v>
      </c>
    </row>
    <row r="47" spans="1:8" x14ac:dyDescent="0.2">
      <c r="A47" t="s">
        <v>60</v>
      </c>
      <c r="B47" s="3" t="s">
        <v>420</v>
      </c>
      <c r="C47" t="s">
        <v>548</v>
      </c>
      <c r="D47" s="1">
        <v>26.484378814697266</v>
      </c>
      <c r="H47" s="3" t="s">
        <v>420</v>
      </c>
    </row>
    <row r="48" spans="1:8" x14ac:dyDescent="0.2">
      <c r="A48" t="s">
        <v>61</v>
      </c>
      <c r="B48" s="3" t="s">
        <v>421</v>
      </c>
      <c r="C48" t="s">
        <v>548</v>
      </c>
      <c r="D48" s="1">
        <v>27.587766647338867</v>
      </c>
      <c r="H48" s="3" t="s">
        <v>421</v>
      </c>
    </row>
    <row r="49" spans="1:10" x14ac:dyDescent="0.2">
      <c r="A49" t="s">
        <v>62</v>
      </c>
      <c r="B49" s="3" t="s">
        <v>422</v>
      </c>
      <c r="C49" t="s">
        <v>548</v>
      </c>
      <c r="D49" s="1">
        <v>27.4886474609375</v>
      </c>
      <c r="H49" s="3" t="s">
        <v>422</v>
      </c>
    </row>
    <row r="50" spans="1:10" x14ac:dyDescent="0.2">
      <c r="A50" t="s">
        <v>63</v>
      </c>
      <c r="B50" s="3" t="s">
        <v>423</v>
      </c>
      <c r="C50" t="s">
        <v>548</v>
      </c>
      <c r="D50" s="1">
        <v>27.566623687744141</v>
      </c>
      <c r="H50" s="3" t="s">
        <v>423</v>
      </c>
    </row>
    <row r="51" spans="1:10" x14ac:dyDescent="0.2">
      <c r="A51" t="s">
        <v>64</v>
      </c>
      <c r="B51" s="3" t="s">
        <v>424</v>
      </c>
      <c r="C51" t="s">
        <v>548</v>
      </c>
      <c r="D51" s="1">
        <v>28.831033706665039</v>
      </c>
      <c r="H51" s="3" t="s">
        <v>424</v>
      </c>
    </row>
    <row r="52" spans="1:10" x14ac:dyDescent="0.2">
      <c r="A52" t="s">
        <v>65</v>
      </c>
      <c r="B52" s="3" t="s">
        <v>425</v>
      </c>
      <c r="C52" t="s">
        <v>548</v>
      </c>
      <c r="D52" s="1">
        <v>28.66032600402832</v>
      </c>
      <c r="H52" s="3" t="s">
        <v>425</v>
      </c>
    </row>
    <row r="53" spans="1:10" x14ac:dyDescent="0.2">
      <c r="A53" t="s">
        <v>66</v>
      </c>
      <c r="B53" s="3" t="s">
        <v>426</v>
      </c>
      <c r="C53" t="s">
        <v>548</v>
      </c>
      <c r="D53" s="1">
        <v>28.578832626342773</v>
      </c>
      <c r="H53" s="3" t="s">
        <v>426</v>
      </c>
    </row>
    <row r="54" spans="1:10" x14ac:dyDescent="0.2">
      <c r="A54" t="s">
        <v>67</v>
      </c>
      <c r="B54" s="3" t="s">
        <v>427</v>
      </c>
      <c r="C54" t="s">
        <v>548</v>
      </c>
      <c r="D54" s="1">
        <v>29.895351409912109</v>
      </c>
      <c r="H54" s="3" t="s">
        <v>427</v>
      </c>
    </row>
    <row r="55" spans="1:10" x14ac:dyDescent="0.2">
      <c r="A55" t="s">
        <v>68</v>
      </c>
      <c r="B55" s="3" t="s">
        <v>428</v>
      </c>
      <c r="C55" t="s">
        <v>548</v>
      </c>
      <c r="D55" s="1">
        <v>30.047094345092773</v>
      </c>
      <c r="H55" s="3" t="s">
        <v>428</v>
      </c>
    </row>
    <row r="56" spans="1:10" x14ac:dyDescent="0.2">
      <c r="A56" t="s">
        <v>69</v>
      </c>
      <c r="B56" s="3" t="s">
        <v>429</v>
      </c>
      <c r="C56" t="s">
        <v>548</v>
      </c>
      <c r="D56" s="1">
        <v>29.810173034667969</v>
      </c>
      <c r="H56" s="3" t="s">
        <v>429</v>
      </c>
    </row>
    <row r="57" spans="1:10" x14ac:dyDescent="0.2">
      <c r="A57" t="s">
        <v>70</v>
      </c>
      <c r="B57" s="3" t="s">
        <v>430</v>
      </c>
      <c r="C57" t="s">
        <v>548</v>
      </c>
      <c r="D57" s="1">
        <v>31.228660583496094</v>
      </c>
      <c r="H57" s="3" t="s">
        <v>430</v>
      </c>
    </row>
    <row r="58" spans="1:10" x14ac:dyDescent="0.2">
      <c r="A58" t="s">
        <v>71</v>
      </c>
      <c r="B58" s="3" t="s">
        <v>431</v>
      </c>
      <c r="C58" t="s">
        <v>548</v>
      </c>
      <c r="D58" s="1">
        <v>30.985391616821289</v>
      </c>
      <c r="H58" s="3" t="s">
        <v>431</v>
      </c>
    </row>
    <row r="59" spans="1:10" x14ac:dyDescent="0.2">
      <c r="A59" t="s">
        <v>72</v>
      </c>
      <c r="B59" s="3" t="s">
        <v>432</v>
      </c>
      <c r="C59" t="s">
        <v>548</v>
      </c>
      <c r="D59" s="1">
        <v>31.056158065795898</v>
      </c>
      <c r="H59" s="3" t="s">
        <v>432</v>
      </c>
    </row>
    <row r="60" spans="1:10" x14ac:dyDescent="0.2">
      <c r="A60" t="s">
        <v>73</v>
      </c>
      <c r="B60" s="3" t="s">
        <v>433</v>
      </c>
      <c r="C60" t="s">
        <v>548</v>
      </c>
      <c r="D60" s="1">
        <v>32.135890960693359</v>
      </c>
      <c r="H60" s="3" t="s">
        <v>433</v>
      </c>
    </row>
    <row r="61" spans="1:10" x14ac:dyDescent="0.2">
      <c r="A61" t="s">
        <v>74</v>
      </c>
      <c r="B61" s="3" t="s">
        <v>434</v>
      </c>
      <c r="C61" t="s">
        <v>548</v>
      </c>
      <c r="D61" s="1">
        <v>32.303363800048828</v>
      </c>
      <c r="H61" s="3" t="s">
        <v>434</v>
      </c>
    </row>
    <row r="62" spans="1:10" x14ac:dyDescent="0.2">
      <c r="A62" t="s">
        <v>75</v>
      </c>
      <c r="B62" s="3" t="s">
        <v>435</v>
      </c>
      <c r="C62" t="s">
        <v>548</v>
      </c>
      <c r="D62" s="1">
        <v>32.536880493164063</v>
      </c>
      <c r="H62" s="3" t="s">
        <v>435</v>
      </c>
    </row>
    <row r="63" spans="1:10" x14ac:dyDescent="0.2">
      <c r="A63" t="s">
        <v>76</v>
      </c>
      <c r="B63" s="15" t="s">
        <v>462</v>
      </c>
      <c r="C63" t="s">
        <v>548</v>
      </c>
      <c r="D63" s="1">
        <v>29.511709213256836</v>
      </c>
      <c r="H63" s="15" t="s">
        <v>462</v>
      </c>
      <c r="J63" s="3"/>
    </row>
    <row r="64" spans="1:10" x14ac:dyDescent="0.2">
      <c r="A64" t="s">
        <v>77</v>
      </c>
      <c r="B64" s="15" t="s">
        <v>463</v>
      </c>
      <c r="C64" t="s">
        <v>548</v>
      </c>
      <c r="D64" s="1">
        <v>29.184545516967773</v>
      </c>
      <c r="H64" s="15" t="s">
        <v>463</v>
      </c>
      <c r="J64" s="3"/>
    </row>
    <row r="65" spans="1:10" x14ac:dyDescent="0.2">
      <c r="A65" t="s">
        <v>78</v>
      </c>
      <c r="B65" s="15" t="s">
        <v>464</v>
      </c>
      <c r="C65" t="s">
        <v>548</v>
      </c>
      <c r="D65" s="1">
        <v>29.066251754760742</v>
      </c>
      <c r="H65" s="15" t="s">
        <v>464</v>
      </c>
      <c r="J65" s="3"/>
    </row>
    <row r="66" spans="1:10" x14ac:dyDescent="0.2">
      <c r="A66" t="s">
        <v>79</v>
      </c>
      <c r="B66" s="15" t="s">
        <v>465</v>
      </c>
      <c r="C66" t="s">
        <v>548</v>
      </c>
      <c r="D66" s="1">
        <v>29.720542907714844</v>
      </c>
      <c r="H66" s="15" t="s">
        <v>465</v>
      </c>
      <c r="J66" s="3"/>
    </row>
    <row r="67" spans="1:10" x14ac:dyDescent="0.2">
      <c r="A67" t="s">
        <v>80</v>
      </c>
      <c r="B67" s="15" t="s">
        <v>466</v>
      </c>
      <c r="C67" t="s">
        <v>548</v>
      </c>
      <c r="D67" s="1">
        <v>29.620088577270508</v>
      </c>
      <c r="H67" s="15" t="s">
        <v>466</v>
      </c>
      <c r="J67" s="3"/>
    </row>
    <row r="68" spans="1:10" x14ac:dyDescent="0.2">
      <c r="A68" t="s">
        <v>81</v>
      </c>
      <c r="B68" s="15" t="s">
        <v>467</v>
      </c>
      <c r="C68" t="s">
        <v>548</v>
      </c>
      <c r="D68" s="1">
        <v>29.058683395385742</v>
      </c>
      <c r="H68" s="15" t="s">
        <v>467</v>
      </c>
      <c r="J68" s="3"/>
    </row>
    <row r="69" spans="1:10" x14ac:dyDescent="0.2">
      <c r="A69" t="s">
        <v>82</v>
      </c>
      <c r="B69" s="15" t="s">
        <v>468</v>
      </c>
      <c r="C69" t="s">
        <v>548</v>
      </c>
      <c r="D69" s="1">
        <v>29.0340576171875</v>
      </c>
      <c r="H69" s="15" t="s">
        <v>468</v>
      </c>
      <c r="J69" s="3"/>
    </row>
    <row r="70" spans="1:10" x14ac:dyDescent="0.2">
      <c r="A70" t="s">
        <v>83</v>
      </c>
      <c r="B70" s="15" t="s">
        <v>469</v>
      </c>
      <c r="C70" t="s">
        <v>548</v>
      </c>
      <c r="D70" s="1">
        <v>29.300920486450195</v>
      </c>
      <c r="H70" s="15" t="s">
        <v>469</v>
      </c>
      <c r="J70" s="3"/>
    </row>
    <row r="71" spans="1:10" x14ac:dyDescent="0.2">
      <c r="A71" t="s">
        <v>84</v>
      </c>
      <c r="B71" s="15" t="s">
        <v>470</v>
      </c>
      <c r="C71" t="s">
        <v>548</v>
      </c>
      <c r="D71" s="1">
        <v>29.204442977905273</v>
      </c>
      <c r="H71" s="15" t="s">
        <v>470</v>
      </c>
      <c r="J71" s="3"/>
    </row>
    <row r="72" spans="1:10" x14ac:dyDescent="0.2">
      <c r="A72" t="s">
        <v>85</v>
      </c>
      <c r="B72" s="15" t="s">
        <v>471</v>
      </c>
      <c r="C72" t="s">
        <v>548</v>
      </c>
      <c r="D72" s="1">
        <v>28.517684936523438</v>
      </c>
      <c r="H72" s="15" t="s">
        <v>471</v>
      </c>
      <c r="J72" s="3"/>
    </row>
    <row r="73" spans="1:10" x14ac:dyDescent="0.2">
      <c r="A73" t="s">
        <v>86</v>
      </c>
      <c r="B73" s="15" t="s">
        <v>472</v>
      </c>
      <c r="C73" t="s">
        <v>548</v>
      </c>
      <c r="D73" s="1">
        <v>29.269735336303711</v>
      </c>
      <c r="H73" s="15" t="s">
        <v>472</v>
      </c>
      <c r="J73" s="3"/>
    </row>
    <row r="74" spans="1:10" x14ac:dyDescent="0.2">
      <c r="A74" t="s">
        <v>87</v>
      </c>
      <c r="B74" s="15" t="s">
        <v>473</v>
      </c>
      <c r="C74" t="s">
        <v>548</v>
      </c>
      <c r="D74" s="1">
        <v>29.023075103759766</v>
      </c>
      <c r="H74" s="15" t="s">
        <v>473</v>
      </c>
      <c r="J74" s="3"/>
    </row>
    <row r="75" spans="1:10" x14ac:dyDescent="0.2">
      <c r="A75" t="s">
        <v>88</v>
      </c>
      <c r="B75" s="15" t="s">
        <v>474</v>
      </c>
      <c r="C75" t="s">
        <v>548</v>
      </c>
      <c r="D75" s="1">
        <v>29.622657775878906</v>
      </c>
      <c r="H75" s="15" t="s">
        <v>474</v>
      </c>
      <c r="J75" s="3"/>
    </row>
    <row r="76" spans="1:10" x14ac:dyDescent="0.2">
      <c r="A76" t="s">
        <v>89</v>
      </c>
      <c r="B76" s="15" t="s">
        <v>475</v>
      </c>
      <c r="C76" t="s">
        <v>548</v>
      </c>
      <c r="D76" s="1">
        <v>28.835800170898438</v>
      </c>
      <c r="H76" s="15" t="s">
        <v>475</v>
      </c>
      <c r="J76" s="3"/>
    </row>
    <row r="77" spans="1:10" x14ac:dyDescent="0.2">
      <c r="A77" t="s">
        <v>90</v>
      </c>
      <c r="B77" s="15" t="s">
        <v>476</v>
      </c>
      <c r="C77" t="s">
        <v>548</v>
      </c>
      <c r="D77" s="1">
        <v>29.112606048583984</v>
      </c>
      <c r="H77" s="15" t="s">
        <v>476</v>
      </c>
      <c r="J77" s="3"/>
    </row>
    <row r="78" spans="1:10" x14ac:dyDescent="0.2">
      <c r="A78" t="s">
        <v>91</v>
      </c>
      <c r="B78" s="15" t="s">
        <v>477</v>
      </c>
      <c r="C78" t="s">
        <v>548</v>
      </c>
      <c r="D78" s="1">
        <v>29.217046737670898</v>
      </c>
      <c r="H78" s="15" t="s">
        <v>477</v>
      </c>
      <c r="J78" s="3"/>
    </row>
    <row r="79" spans="1:10" x14ac:dyDescent="0.2">
      <c r="A79" t="s">
        <v>92</v>
      </c>
      <c r="B79" s="15" t="s">
        <v>478</v>
      </c>
      <c r="C79" t="s">
        <v>548</v>
      </c>
      <c r="D79" s="1">
        <v>29.323820114135742</v>
      </c>
      <c r="H79" s="15" t="s">
        <v>478</v>
      </c>
      <c r="J79" s="3"/>
    </row>
    <row r="80" spans="1:10" x14ac:dyDescent="0.2">
      <c r="A80" t="s">
        <v>93</v>
      </c>
      <c r="B80" s="15" t="s">
        <v>479</v>
      </c>
      <c r="C80" t="s">
        <v>548</v>
      </c>
      <c r="D80" s="1">
        <v>28.728569030761719</v>
      </c>
      <c r="H80" s="15" t="s">
        <v>479</v>
      </c>
      <c r="J80" s="3"/>
    </row>
    <row r="81" spans="1:10" x14ac:dyDescent="0.2">
      <c r="A81" t="s">
        <v>94</v>
      </c>
      <c r="B81" s="15" t="s">
        <v>480</v>
      </c>
      <c r="C81" t="s">
        <v>548</v>
      </c>
      <c r="D81" s="1">
        <v>30.098743438720703</v>
      </c>
      <c r="H81" s="15" t="s">
        <v>480</v>
      </c>
      <c r="J81" s="3"/>
    </row>
    <row r="82" spans="1:10" x14ac:dyDescent="0.2">
      <c r="A82" t="s">
        <v>95</v>
      </c>
      <c r="B82" s="15" t="s">
        <v>481</v>
      </c>
      <c r="C82" t="s">
        <v>548</v>
      </c>
      <c r="D82" s="1">
        <v>29.001241683959961</v>
      </c>
      <c r="H82" s="15" t="s">
        <v>481</v>
      </c>
      <c r="J82" s="3"/>
    </row>
    <row r="83" spans="1:10" x14ac:dyDescent="0.2">
      <c r="A83" t="s">
        <v>96</v>
      </c>
      <c r="B83" s="15" t="s">
        <v>482</v>
      </c>
      <c r="C83" t="s">
        <v>548</v>
      </c>
      <c r="D83" s="1">
        <v>29.022953033447266</v>
      </c>
      <c r="H83" s="15" t="s">
        <v>482</v>
      </c>
      <c r="J83" s="3"/>
    </row>
    <row r="84" spans="1:10" x14ac:dyDescent="0.2">
      <c r="A84" t="s">
        <v>97</v>
      </c>
      <c r="B84" s="15" t="s">
        <v>483</v>
      </c>
      <c r="C84" t="s">
        <v>548</v>
      </c>
      <c r="D84" s="1">
        <v>29.253360748291016</v>
      </c>
      <c r="H84" s="15" t="s">
        <v>483</v>
      </c>
      <c r="J84" s="3"/>
    </row>
    <row r="85" spans="1:10" x14ac:dyDescent="0.2">
      <c r="A85" t="s">
        <v>98</v>
      </c>
      <c r="B85" s="15" t="s">
        <v>484</v>
      </c>
      <c r="C85" t="s">
        <v>548</v>
      </c>
      <c r="D85" s="1">
        <v>29.442394256591797</v>
      </c>
      <c r="H85" s="15" t="s">
        <v>484</v>
      </c>
      <c r="J85" s="3"/>
    </row>
    <row r="86" spans="1:10" x14ac:dyDescent="0.2">
      <c r="A86" t="s">
        <v>99</v>
      </c>
      <c r="B86" s="15" t="s">
        <v>485</v>
      </c>
      <c r="C86" t="s">
        <v>548</v>
      </c>
      <c r="D86" s="1">
        <v>28.863857269287109</v>
      </c>
      <c r="H86" s="15" t="s">
        <v>485</v>
      </c>
      <c r="J86" s="3"/>
    </row>
    <row r="87" spans="1:10" x14ac:dyDescent="0.2">
      <c r="A87" t="s">
        <v>100</v>
      </c>
      <c r="B87" s="15" t="s">
        <v>486</v>
      </c>
      <c r="C87" t="s">
        <v>548</v>
      </c>
      <c r="D87" s="1">
        <v>29.029548645019531</v>
      </c>
      <c r="H87" s="15" t="s">
        <v>486</v>
      </c>
      <c r="J87" s="3"/>
    </row>
    <row r="88" spans="1:10" x14ac:dyDescent="0.2">
      <c r="A88" t="s">
        <v>101</v>
      </c>
      <c r="B88" s="15" t="s">
        <v>487</v>
      </c>
      <c r="C88" t="s">
        <v>548</v>
      </c>
      <c r="D88" s="1">
        <v>28.926811218261719</v>
      </c>
      <c r="H88" s="15" t="s">
        <v>487</v>
      </c>
      <c r="J88" s="3"/>
    </row>
    <row r="89" spans="1:10" x14ac:dyDescent="0.2">
      <c r="A89" t="s">
        <v>102</v>
      </c>
      <c r="B89" s="15" t="s">
        <v>488</v>
      </c>
      <c r="C89" t="s">
        <v>548</v>
      </c>
      <c r="D89" s="1">
        <v>28.692960739135742</v>
      </c>
      <c r="H89" s="15" t="s">
        <v>488</v>
      </c>
      <c r="J89" s="3"/>
    </row>
    <row r="90" spans="1:10" x14ac:dyDescent="0.2">
      <c r="A90" t="s">
        <v>103</v>
      </c>
      <c r="B90" s="15" t="s">
        <v>489</v>
      </c>
      <c r="C90" t="s">
        <v>548</v>
      </c>
      <c r="D90" s="1">
        <v>29.404697418212891</v>
      </c>
      <c r="H90" s="15" t="s">
        <v>489</v>
      </c>
      <c r="J90" s="3"/>
    </row>
    <row r="91" spans="1:10" x14ac:dyDescent="0.2">
      <c r="A91" t="s">
        <v>104</v>
      </c>
      <c r="B91" s="15" t="s">
        <v>490</v>
      </c>
      <c r="C91" t="s">
        <v>548</v>
      </c>
      <c r="D91" s="1">
        <v>28.626039505004883</v>
      </c>
      <c r="H91" s="15" t="s">
        <v>490</v>
      </c>
      <c r="J91" s="3"/>
    </row>
    <row r="92" spans="1:10" x14ac:dyDescent="0.2">
      <c r="A92" t="s">
        <v>105</v>
      </c>
      <c r="B92" s="15" t="s">
        <v>507</v>
      </c>
      <c r="C92" t="s">
        <v>548</v>
      </c>
      <c r="D92" s="1">
        <v>29.276023864746094</v>
      </c>
      <c r="H92" s="15" t="s">
        <v>507</v>
      </c>
      <c r="J92" s="3"/>
    </row>
    <row r="93" spans="1:10" x14ac:dyDescent="0.2">
      <c r="A93" t="s">
        <v>106</v>
      </c>
      <c r="B93" s="15" t="s">
        <v>491</v>
      </c>
      <c r="C93" t="s">
        <v>548</v>
      </c>
      <c r="D93" s="1">
        <v>28.859420776367188</v>
      </c>
      <c r="H93" s="15" t="s">
        <v>491</v>
      </c>
      <c r="J93" s="3"/>
    </row>
    <row r="94" spans="1:10" x14ac:dyDescent="0.2">
      <c r="A94" t="s">
        <v>107</v>
      </c>
      <c r="B94" s="15" t="s">
        <v>492</v>
      </c>
      <c r="C94" t="s">
        <v>548</v>
      </c>
      <c r="D94" s="1">
        <v>29.663690567016602</v>
      </c>
      <c r="H94" s="15" t="s">
        <v>492</v>
      </c>
      <c r="J94" s="3"/>
    </row>
    <row r="95" spans="1:10" x14ac:dyDescent="0.2">
      <c r="A95" t="s">
        <v>108</v>
      </c>
      <c r="B95" s="15" t="s">
        <v>508</v>
      </c>
      <c r="C95" t="s">
        <v>548</v>
      </c>
      <c r="D95" s="1">
        <v>29.166118621826172</v>
      </c>
      <c r="H95" s="15" t="s">
        <v>508</v>
      </c>
      <c r="J95" s="3"/>
    </row>
    <row r="96" spans="1:10" x14ac:dyDescent="0.2">
      <c r="A96" t="s">
        <v>109</v>
      </c>
      <c r="B96" s="15" t="s">
        <v>493</v>
      </c>
      <c r="C96" t="s">
        <v>548</v>
      </c>
      <c r="D96" s="1">
        <v>29.792938232421875</v>
      </c>
      <c r="H96" s="15" t="s">
        <v>493</v>
      </c>
      <c r="J96" s="3"/>
    </row>
    <row r="97" spans="1:10" x14ac:dyDescent="0.2">
      <c r="A97" t="s">
        <v>110</v>
      </c>
      <c r="B97" s="15" t="s">
        <v>494</v>
      </c>
      <c r="C97" t="s">
        <v>548</v>
      </c>
      <c r="D97" s="1">
        <v>29.341766357421875</v>
      </c>
      <c r="H97" s="15" t="s">
        <v>494</v>
      </c>
      <c r="J97" s="3"/>
    </row>
    <row r="98" spans="1:10" x14ac:dyDescent="0.2">
      <c r="A98" t="s">
        <v>111</v>
      </c>
      <c r="B98" s="15" t="s">
        <v>509</v>
      </c>
      <c r="C98" t="s">
        <v>548</v>
      </c>
      <c r="D98" s="1">
        <v>28.91413688659668</v>
      </c>
      <c r="H98" s="15" t="s">
        <v>509</v>
      </c>
      <c r="J98" s="3"/>
    </row>
    <row r="99" spans="1:10" x14ac:dyDescent="0.2">
      <c r="A99" t="s">
        <v>112</v>
      </c>
      <c r="B99" s="15" t="s">
        <v>495</v>
      </c>
      <c r="C99" t="s">
        <v>548</v>
      </c>
      <c r="D99" s="1">
        <v>29.304327011108398</v>
      </c>
      <c r="H99" s="15" t="s">
        <v>495</v>
      </c>
      <c r="J99" s="3"/>
    </row>
    <row r="100" spans="1:10" x14ac:dyDescent="0.2">
      <c r="A100" t="s">
        <v>113</v>
      </c>
      <c r="B100" s="15" t="s">
        <v>496</v>
      </c>
      <c r="C100" t="s">
        <v>548</v>
      </c>
      <c r="D100" s="1">
        <v>29.031520843505859</v>
      </c>
      <c r="H100" s="15" t="s">
        <v>496</v>
      </c>
      <c r="J100" s="3"/>
    </row>
    <row r="101" spans="1:10" x14ac:dyDescent="0.2">
      <c r="A101" t="s">
        <v>114</v>
      </c>
      <c r="B101" s="15" t="s">
        <v>510</v>
      </c>
      <c r="C101" t="s">
        <v>548</v>
      </c>
      <c r="D101" s="1">
        <v>29.128259658813477</v>
      </c>
      <c r="H101" s="15" t="s">
        <v>510</v>
      </c>
      <c r="J101" s="3"/>
    </row>
    <row r="102" spans="1:10" x14ac:dyDescent="0.2">
      <c r="A102" t="s">
        <v>115</v>
      </c>
      <c r="B102" s="15" t="s">
        <v>497</v>
      </c>
      <c r="C102" t="s">
        <v>548</v>
      </c>
      <c r="D102" s="1">
        <v>29.154123306274414</v>
      </c>
      <c r="H102" s="15" t="s">
        <v>497</v>
      </c>
      <c r="J102" s="3"/>
    </row>
    <row r="103" spans="1:10" x14ac:dyDescent="0.2">
      <c r="A103" t="s">
        <v>116</v>
      </c>
      <c r="B103" s="15" t="s">
        <v>498</v>
      </c>
      <c r="C103" t="s">
        <v>548</v>
      </c>
      <c r="D103" s="1">
        <v>29.130790710449219</v>
      </c>
      <c r="H103" s="15" t="s">
        <v>498</v>
      </c>
      <c r="J103" s="3"/>
    </row>
    <row r="104" spans="1:10" x14ac:dyDescent="0.2">
      <c r="A104" t="s">
        <v>117</v>
      </c>
      <c r="B104" s="15" t="s">
        <v>511</v>
      </c>
      <c r="C104" t="s">
        <v>548</v>
      </c>
      <c r="D104" s="1">
        <v>29.209712982177734</v>
      </c>
      <c r="H104" s="15" t="s">
        <v>511</v>
      </c>
      <c r="J104" s="3"/>
    </row>
    <row r="105" spans="1:10" x14ac:dyDescent="0.2">
      <c r="A105" t="s">
        <v>118</v>
      </c>
      <c r="B105" s="15" t="s">
        <v>499</v>
      </c>
      <c r="C105" t="s">
        <v>548</v>
      </c>
      <c r="D105" s="1">
        <v>29.380292892456055</v>
      </c>
      <c r="H105" s="15" t="s">
        <v>499</v>
      </c>
      <c r="J105" s="3"/>
    </row>
    <row r="106" spans="1:10" x14ac:dyDescent="0.2">
      <c r="A106" t="s">
        <v>119</v>
      </c>
      <c r="B106" s="15" t="s">
        <v>500</v>
      </c>
      <c r="C106" t="s">
        <v>548</v>
      </c>
      <c r="D106" s="1">
        <v>28.87977409362793</v>
      </c>
      <c r="H106" s="15" t="s">
        <v>500</v>
      </c>
      <c r="J106" s="3"/>
    </row>
    <row r="107" spans="1:10" x14ac:dyDescent="0.2">
      <c r="A107" t="s">
        <v>120</v>
      </c>
      <c r="B107" s="15" t="s">
        <v>512</v>
      </c>
      <c r="C107" t="s">
        <v>548</v>
      </c>
      <c r="D107" s="1">
        <v>28.958000183105469</v>
      </c>
      <c r="H107" s="15" t="s">
        <v>512</v>
      </c>
      <c r="J107" s="3"/>
    </row>
    <row r="108" spans="1:10" x14ac:dyDescent="0.2">
      <c r="A108" t="s">
        <v>121</v>
      </c>
      <c r="B108" s="15" t="s">
        <v>501</v>
      </c>
      <c r="C108" t="s">
        <v>548</v>
      </c>
      <c r="D108" s="1">
        <v>30.012554168701172</v>
      </c>
      <c r="H108" s="15" t="s">
        <v>501</v>
      </c>
      <c r="J108" s="3"/>
    </row>
    <row r="109" spans="1:10" x14ac:dyDescent="0.2">
      <c r="A109" t="s">
        <v>122</v>
      </c>
      <c r="B109" s="15" t="s">
        <v>502</v>
      </c>
      <c r="C109" t="s">
        <v>548</v>
      </c>
      <c r="D109" s="1">
        <v>29.181365966796875</v>
      </c>
      <c r="H109" s="15" t="s">
        <v>502</v>
      </c>
      <c r="J109" s="3"/>
    </row>
    <row r="110" spans="1:10" x14ac:dyDescent="0.2">
      <c r="A110" t="s">
        <v>123</v>
      </c>
      <c r="B110" s="15" t="s">
        <v>513</v>
      </c>
      <c r="C110" t="s">
        <v>548</v>
      </c>
      <c r="D110" s="1">
        <v>29.498359680175781</v>
      </c>
      <c r="H110" s="15" t="s">
        <v>513</v>
      </c>
      <c r="J110" s="3"/>
    </row>
    <row r="111" spans="1:10" x14ac:dyDescent="0.2">
      <c r="A111" t="s">
        <v>124</v>
      </c>
      <c r="B111" s="15" t="s">
        <v>503</v>
      </c>
      <c r="C111" t="s">
        <v>548</v>
      </c>
      <c r="D111" s="1">
        <v>28.591043472290039</v>
      </c>
      <c r="H111" s="15" t="s">
        <v>503</v>
      </c>
    </row>
    <row r="112" spans="1:10" x14ac:dyDescent="0.2">
      <c r="A112" t="s">
        <v>125</v>
      </c>
      <c r="B112" s="15" t="s">
        <v>504</v>
      </c>
      <c r="C112" t="s">
        <v>548</v>
      </c>
      <c r="D112" s="1">
        <v>29.254398345947266</v>
      </c>
      <c r="H112" s="15" t="s">
        <v>504</v>
      </c>
    </row>
    <row r="113" spans="1:8" x14ac:dyDescent="0.2">
      <c r="A113" t="s">
        <v>126</v>
      </c>
      <c r="B113" s="15" t="s">
        <v>514</v>
      </c>
      <c r="C113" t="s">
        <v>548</v>
      </c>
      <c r="D113" s="1">
        <v>28.79119873046875</v>
      </c>
      <c r="H113" s="15" t="s">
        <v>514</v>
      </c>
    </row>
    <row r="114" spans="1:8" x14ac:dyDescent="0.2">
      <c r="A114" t="s">
        <v>127</v>
      </c>
      <c r="B114" s="15" t="s">
        <v>505</v>
      </c>
      <c r="C114" t="s">
        <v>548</v>
      </c>
      <c r="D114" s="1">
        <v>28.924102783203125</v>
      </c>
      <c r="H114" s="15" t="s">
        <v>505</v>
      </c>
    </row>
    <row r="115" spans="1:8" x14ac:dyDescent="0.2">
      <c r="A115" t="s">
        <v>128</v>
      </c>
      <c r="B115" s="15" t="s">
        <v>506</v>
      </c>
      <c r="C115" t="s">
        <v>548</v>
      </c>
      <c r="D115" s="1">
        <v>29.206802368164063</v>
      </c>
      <c r="H115" s="15" t="s">
        <v>506</v>
      </c>
    </row>
    <row r="116" spans="1:8" x14ac:dyDescent="0.2">
      <c r="A116" t="s">
        <v>129</v>
      </c>
      <c r="B116" s="15" t="s">
        <v>515</v>
      </c>
      <c r="C116" t="s">
        <v>548</v>
      </c>
      <c r="D116" s="1">
        <v>29.264251708984375</v>
      </c>
      <c r="H116" s="15" t="s">
        <v>515</v>
      </c>
    </row>
    <row r="117" spans="1:8" x14ac:dyDescent="0.2">
      <c r="A117" t="s">
        <v>130</v>
      </c>
      <c r="B117" s="15" t="s">
        <v>516</v>
      </c>
      <c r="C117" t="s">
        <v>548</v>
      </c>
      <c r="D117" s="1">
        <v>29.410181045532227</v>
      </c>
      <c r="H117" s="15" t="s">
        <v>516</v>
      </c>
    </row>
    <row r="118" spans="1:8" x14ac:dyDescent="0.2">
      <c r="A118" t="s">
        <v>131</v>
      </c>
      <c r="B118" s="15" t="s">
        <v>517</v>
      </c>
      <c r="C118" t="s">
        <v>548</v>
      </c>
      <c r="D118" s="1">
        <v>28.776260375976563</v>
      </c>
      <c r="H118" s="15" t="s">
        <v>517</v>
      </c>
    </row>
    <row r="119" spans="1:8" x14ac:dyDescent="0.2">
      <c r="A119" t="s">
        <v>132</v>
      </c>
      <c r="B119" s="15" t="s">
        <v>518</v>
      </c>
      <c r="C119" t="s">
        <v>548</v>
      </c>
      <c r="D119" s="1">
        <v>28.695428848266602</v>
      </c>
      <c r="H119" s="15" t="s">
        <v>518</v>
      </c>
    </row>
    <row r="120" spans="1:8" x14ac:dyDescent="0.2">
      <c r="A120" t="s">
        <v>133</v>
      </c>
      <c r="B120" s="15" t="s">
        <v>519</v>
      </c>
      <c r="C120" t="s">
        <v>548</v>
      </c>
      <c r="D120" s="1">
        <v>29.477766036987305</v>
      </c>
      <c r="H120" s="15" t="s">
        <v>519</v>
      </c>
    </row>
    <row r="121" spans="1:8" x14ac:dyDescent="0.2">
      <c r="A121" t="s">
        <v>134</v>
      </c>
      <c r="B121" s="15" t="s">
        <v>520</v>
      </c>
      <c r="C121" t="s">
        <v>548</v>
      </c>
      <c r="D121" s="1">
        <v>29.374517440795898</v>
      </c>
      <c r="H121" s="15" t="s">
        <v>520</v>
      </c>
    </row>
    <row r="122" spans="1:8" x14ac:dyDescent="0.2">
      <c r="A122" t="s">
        <v>135</v>
      </c>
      <c r="B122" s="15" t="s">
        <v>521</v>
      </c>
      <c r="C122" t="s">
        <v>548</v>
      </c>
      <c r="D122" s="1">
        <v>29.435712814331055</v>
      </c>
      <c r="H122" s="15" t="s">
        <v>521</v>
      </c>
    </row>
    <row r="123" spans="1:8" x14ac:dyDescent="0.2">
      <c r="A123" t="s">
        <v>136</v>
      </c>
      <c r="B123" s="15" t="s">
        <v>522</v>
      </c>
      <c r="C123" t="s">
        <v>548</v>
      </c>
      <c r="D123" s="1">
        <v>29.505382537841797</v>
      </c>
      <c r="H123" s="15" t="s">
        <v>522</v>
      </c>
    </row>
    <row r="124" spans="1:8" x14ac:dyDescent="0.2">
      <c r="A124" t="s">
        <v>137</v>
      </c>
      <c r="B124" s="15" t="s">
        <v>523</v>
      </c>
      <c r="C124" t="s">
        <v>548</v>
      </c>
      <c r="D124" s="1">
        <v>29.343795776367188</v>
      </c>
      <c r="H124" s="15" t="s">
        <v>523</v>
      </c>
    </row>
    <row r="125" spans="1:8" x14ac:dyDescent="0.2">
      <c r="A125" t="s">
        <v>138</v>
      </c>
      <c r="B125" s="15" t="s">
        <v>524</v>
      </c>
      <c r="C125" t="s">
        <v>548</v>
      </c>
      <c r="D125" s="1">
        <v>29.346277236938477</v>
      </c>
      <c r="H125" s="15" t="s">
        <v>524</v>
      </c>
    </row>
    <row r="126" spans="1:8" x14ac:dyDescent="0.2">
      <c r="A126" t="s">
        <v>139</v>
      </c>
      <c r="B126" s="15" t="s">
        <v>525</v>
      </c>
      <c r="C126" t="s">
        <v>548</v>
      </c>
      <c r="D126" s="1">
        <v>29.624553680419922</v>
      </c>
      <c r="H126" s="15" t="s">
        <v>525</v>
      </c>
    </row>
    <row r="127" spans="1:8" x14ac:dyDescent="0.2">
      <c r="A127" t="s">
        <v>140</v>
      </c>
      <c r="B127" s="15" t="s">
        <v>526</v>
      </c>
      <c r="C127" t="s">
        <v>548</v>
      </c>
      <c r="D127" s="1">
        <v>28.938756942749023</v>
      </c>
      <c r="H127" s="15" t="s">
        <v>526</v>
      </c>
    </row>
    <row r="128" spans="1:8" x14ac:dyDescent="0.2">
      <c r="A128" t="s">
        <v>141</v>
      </c>
      <c r="B128" s="15" t="s">
        <v>527</v>
      </c>
      <c r="C128" t="s">
        <v>548</v>
      </c>
      <c r="D128" s="1">
        <v>28.902692794799805</v>
      </c>
      <c r="H128" s="15" t="s">
        <v>527</v>
      </c>
    </row>
    <row r="129" spans="1:8" x14ac:dyDescent="0.2">
      <c r="A129" t="s">
        <v>142</v>
      </c>
      <c r="B129" s="15" t="s">
        <v>528</v>
      </c>
      <c r="C129" t="s">
        <v>548</v>
      </c>
      <c r="D129" s="1">
        <v>29.722335815429688</v>
      </c>
      <c r="H129" s="15" t="s">
        <v>528</v>
      </c>
    </row>
    <row r="130" spans="1:8" x14ac:dyDescent="0.2">
      <c r="A130" t="s">
        <v>143</v>
      </c>
      <c r="B130" s="15" t="s">
        <v>529</v>
      </c>
      <c r="C130" t="s">
        <v>548</v>
      </c>
      <c r="D130" s="1">
        <v>29.03277587890625</v>
      </c>
      <c r="H130" s="15" t="s">
        <v>529</v>
      </c>
    </row>
    <row r="131" spans="1:8" x14ac:dyDescent="0.2">
      <c r="A131" t="s">
        <v>144</v>
      </c>
      <c r="B131" s="15" t="s">
        <v>530</v>
      </c>
      <c r="C131" t="s">
        <v>548</v>
      </c>
      <c r="D131" s="1">
        <v>29.013351440429688</v>
      </c>
      <c r="H131" s="15" t="s">
        <v>530</v>
      </c>
    </row>
    <row r="132" spans="1:8" x14ac:dyDescent="0.2">
      <c r="A132" t="s">
        <v>145</v>
      </c>
      <c r="B132" s="15" t="s">
        <v>531</v>
      </c>
      <c r="C132" t="s">
        <v>548</v>
      </c>
      <c r="D132" s="1">
        <v>30.410810470581055</v>
      </c>
      <c r="H132" s="15" t="s">
        <v>531</v>
      </c>
    </row>
    <row r="133" spans="1:8" x14ac:dyDescent="0.2">
      <c r="A133" t="s">
        <v>146</v>
      </c>
      <c r="B133" s="15" t="s">
        <v>532</v>
      </c>
      <c r="C133" t="s">
        <v>548</v>
      </c>
      <c r="D133" s="1">
        <v>29.189477920532227</v>
      </c>
      <c r="H133" s="15" t="s">
        <v>532</v>
      </c>
    </row>
    <row r="134" spans="1:8" x14ac:dyDescent="0.2">
      <c r="A134" t="s">
        <v>147</v>
      </c>
      <c r="B134" s="15" t="s">
        <v>533</v>
      </c>
      <c r="C134" t="s">
        <v>548</v>
      </c>
      <c r="D134" s="1">
        <v>29.350551605224609</v>
      </c>
      <c r="H134" s="15" t="s">
        <v>533</v>
      </c>
    </row>
    <row r="135" spans="1:8" x14ac:dyDescent="0.2">
      <c r="A135" t="s">
        <v>148</v>
      </c>
      <c r="B135" s="15" t="s">
        <v>534</v>
      </c>
      <c r="C135" t="s">
        <v>548</v>
      </c>
      <c r="D135" s="1">
        <v>29.095865249633789</v>
      </c>
      <c r="H135" s="15" t="s">
        <v>534</v>
      </c>
    </row>
    <row r="136" spans="1:8" x14ac:dyDescent="0.2">
      <c r="A136" t="s">
        <v>149</v>
      </c>
      <c r="B136" s="15" t="s">
        <v>535</v>
      </c>
      <c r="C136" t="s">
        <v>548</v>
      </c>
      <c r="D136" s="1">
        <v>29.219741821289063</v>
      </c>
      <c r="H136" s="15" t="s">
        <v>535</v>
      </c>
    </row>
    <row r="137" spans="1:8" x14ac:dyDescent="0.2">
      <c r="A137" t="s">
        <v>150</v>
      </c>
      <c r="B137" s="15" t="s">
        <v>536</v>
      </c>
      <c r="C137" t="s">
        <v>548</v>
      </c>
      <c r="D137" s="1">
        <v>29.033811569213867</v>
      </c>
      <c r="H137" s="15" t="s">
        <v>536</v>
      </c>
    </row>
    <row r="138" spans="1:8" x14ac:dyDescent="0.2">
      <c r="A138" t="s">
        <v>151</v>
      </c>
      <c r="B138" s="15" t="s">
        <v>537</v>
      </c>
      <c r="C138" t="s">
        <v>548</v>
      </c>
      <c r="D138" s="1">
        <v>29.438722610473633</v>
      </c>
      <c r="H138" s="15" t="s">
        <v>537</v>
      </c>
    </row>
    <row r="139" spans="1:8" x14ac:dyDescent="0.2">
      <c r="A139" t="s">
        <v>152</v>
      </c>
      <c r="B139" s="15" t="s">
        <v>538</v>
      </c>
      <c r="C139" t="s">
        <v>548</v>
      </c>
      <c r="D139" s="1">
        <v>28.78656005859375</v>
      </c>
      <c r="H139" s="15" t="s">
        <v>538</v>
      </c>
    </row>
    <row r="140" spans="1:8" x14ac:dyDescent="0.2">
      <c r="A140" t="s">
        <v>153</v>
      </c>
      <c r="B140" s="15" t="s">
        <v>539</v>
      </c>
      <c r="C140" t="s">
        <v>548</v>
      </c>
      <c r="D140" s="1">
        <v>28.740325927734375</v>
      </c>
      <c r="H140" s="15" t="s">
        <v>539</v>
      </c>
    </row>
    <row r="141" spans="1:8" x14ac:dyDescent="0.2">
      <c r="A141" t="s">
        <v>154</v>
      </c>
      <c r="B141" s="15" t="s">
        <v>540</v>
      </c>
      <c r="C141" t="s">
        <v>548</v>
      </c>
      <c r="D141" s="1">
        <v>29.956012725830078</v>
      </c>
      <c r="H141" s="15" t="s">
        <v>540</v>
      </c>
    </row>
    <row r="142" spans="1:8" x14ac:dyDescent="0.2">
      <c r="A142" t="s">
        <v>155</v>
      </c>
      <c r="B142" s="15" t="s">
        <v>541</v>
      </c>
      <c r="C142" t="s">
        <v>548</v>
      </c>
      <c r="D142" s="1">
        <v>29.950483322143555</v>
      </c>
      <c r="H142" s="15" t="s">
        <v>541</v>
      </c>
    </row>
    <row r="143" spans="1:8" x14ac:dyDescent="0.2">
      <c r="A143" t="s">
        <v>156</v>
      </c>
      <c r="B143" s="15" t="s">
        <v>542</v>
      </c>
      <c r="C143" t="s">
        <v>548</v>
      </c>
      <c r="D143" s="1">
        <v>28.949634552001953</v>
      </c>
      <c r="H143" s="15" t="s">
        <v>542</v>
      </c>
    </row>
    <row r="144" spans="1:8" x14ac:dyDescent="0.2">
      <c r="A144" t="s">
        <v>157</v>
      </c>
      <c r="B144" s="3" t="s">
        <v>457</v>
      </c>
      <c r="C144" t="s">
        <v>548</v>
      </c>
      <c r="D144" t="s">
        <v>55</v>
      </c>
      <c r="H144" s="3" t="s">
        <v>457</v>
      </c>
    </row>
    <row r="145" spans="1:8" x14ac:dyDescent="0.2">
      <c r="A145" t="s">
        <v>158</v>
      </c>
      <c r="B145" s="3" t="s">
        <v>457</v>
      </c>
      <c r="C145" t="s">
        <v>548</v>
      </c>
      <c r="D145" t="s">
        <v>55</v>
      </c>
      <c r="H145" s="3" t="s">
        <v>457</v>
      </c>
    </row>
    <row r="146" spans="1:8" x14ac:dyDescent="0.2">
      <c r="A146" t="s">
        <v>159</v>
      </c>
      <c r="B146" s="3" t="s">
        <v>457</v>
      </c>
      <c r="C146" t="s">
        <v>548</v>
      </c>
      <c r="D146" t="s">
        <v>55</v>
      </c>
      <c r="H146" s="3" t="s">
        <v>457</v>
      </c>
    </row>
    <row r="147" spans="1:8" x14ac:dyDescent="0.2">
      <c r="A147" t="s">
        <v>160</v>
      </c>
      <c r="B147" s="3" t="s">
        <v>457</v>
      </c>
      <c r="C147" t="s">
        <v>548</v>
      </c>
      <c r="D147" t="s">
        <v>55</v>
      </c>
      <c r="H147" s="3" t="s">
        <v>457</v>
      </c>
    </row>
    <row r="148" spans="1:8" x14ac:dyDescent="0.2">
      <c r="A148" t="s">
        <v>161</v>
      </c>
      <c r="B148" s="3" t="s">
        <v>457</v>
      </c>
      <c r="C148" t="s">
        <v>548</v>
      </c>
      <c r="D148" t="s">
        <v>55</v>
      </c>
      <c r="H148" s="3" t="s">
        <v>457</v>
      </c>
    </row>
    <row r="149" spans="1:8" x14ac:dyDescent="0.2">
      <c r="A149" t="s">
        <v>162</v>
      </c>
      <c r="B149" s="3" t="s">
        <v>457</v>
      </c>
      <c r="C149" t="s">
        <v>548</v>
      </c>
      <c r="D149" t="s">
        <v>55</v>
      </c>
      <c r="H149" s="3" t="s">
        <v>457</v>
      </c>
    </row>
    <row r="150" spans="1:8" x14ac:dyDescent="0.2">
      <c r="A150" t="s">
        <v>163</v>
      </c>
      <c r="B150" s="3" t="s">
        <v>457</v>
      </c>
      <c r="C150" t="s">
        <v>548</v>
      </c>
      <c r="D150" t="s">
        <v>55</v>
      </c>
      <c r="H150" s="3" t="s">
        <v>457</v>
      </c>
    </row>
    <row r="151" spans="1:8" x14ac:dyDescent="0.2">
      <c r="A151" t="s">
        <v>164</v>
      </c>
      <c r="B151" s="3" t="s">
        <v>457</v>
      </c>
      <c r="C151" t="s">
        <v>548</v>
      </c>
      <c r="D151" t="s">
        <v>55</v>
      </c>
      <c r="H151" s="3" t="s">
        <v>457</v>
      </c>
    </row>
    <row r="152" spans="1:8" x14ac:dyDescent="0.2">
      <c r="A152" t="s">
        <v>165</v>
      </c>
      <c r="B152" s="3" t="s">
        <v>457</v>
      </c>
      <c r="C152" t="s">
        <v>548</v>
      </c>
      <c r="D152" t="s">
        <v>55</v>
      </c>
      <c r="H152" s="3" t="s">
        <v>457</v>
      </c>
    </row>
    <row r="153" spans="1:8" x14ac:dyDescent="0.2">
      <c r="A153" t="s">
        <v>166</v>
      </c>
      <c r="B153" s="3" t="s">
        <v>457</v>
      </c>
      <c r="C153" t="s">
        <v>548</v>
      </c>
      <c r="D153" t="s">
        <v>55</v>
      </c>
      <c r="H153" s="3" t="s">
        <v>457</v>
      </c>
    </row>
    <row r="154" spans="1:8" x14ac:dyDescent="0.2">
      <c r="A154" t="s">
        <v>167</v>
      </c>
      <c r="B154" s="3" t="s">
        <v>457</v>
      </c>
      <c r="C154" t="s">
        <v>548</v>
      </c>
      <c r="D154" t="s">
        <v>55</v>
      </c>
      <c r="H154" s="3" t="s">
        <v>457</v>
      </c>
    </row>
    <row r="155" spans="1:8" x14ac:dyDescent="0.2">
      <c r="A155" t="s">
        <v>168</v>
      </c>
      <c r="B155" s="3" t="s">
        <v>457</v>
      </c>
      <c r="C155" t="s">
        <v>548</v>
      </c>
      <c r="D155" t="s">
        <v>55</v>
      </c>
      <c r="H155" s="3" t="s">
        <v>457</v>
      </c>
    </row>
    <row r="156" spans="1:8" x14ac:dyDescent="0.2">
      <c r="A156" t="s">
        <v>169</v>
      </c>
      <c r="B156" s="3" t="s">
        <v>457</v>
      </c>
      <c r="C156" t="s">
        <v>548</v>
      </c>
      <c r="D156" t="s">
        <v>55</v>
      </c>
      <c r="H156" s="3" t="s">
        <v>457</v>
      </c>
    </row>
    <row r="157" spans="1:8" x14ac:dyDescent="0.2">
      <c r="A157" t="s">
        <v>170</v>
      </c>
      <c r="B157" s="3" t="s">
        <v>457</v>
      </c>
      <c r="C157" t="s">
        <v>548</v>
      </c>
      <c r="D157" t="s">
        <v>55</v>
      </c>
      <c r="H157" s="3" t="s">
        <v>457</v>
      </c>
    </row>
    <row r="158" spans="1:8" x14ac:dyDescent="0.2">
      <c r="A158" t="s">
        <v>171</v>
      </c>
      <c r="B158" s="3" t="s">
        <v>457</v>
      </c>
      <c r="C158" t="s">
        <v>548</v>
      </c>
      <c r="D158" t="s">
        <v>55</v>
      </c>
      <c r="H158" s="3" t="s">
        <v>457</v>
      </c>
    </row>
    <row r="159" spans="1:8" x14ac:dyDescent="0.2">
      <c r="A159" t="s">
        <v>172</v>
      </c>
      <c r="B159" s="3" t="s">
        <v>457</v>
      </c>
      <c r="C159" t="s">
        <v>548</v>
      </c>
      <c r="D159" t="s">
        <v>55</v>
      </c>
      <c r="H159" s="3" t="s">
        <v>457</v>
      </c>
    </row>
    <row r="160" spans="1:8" x14ac:dyDescent="0.2">
      <c r="A160" t="s">
        <v>173</v>
      </c>
      <c r="B160" s="3" t="s">
        <v>457</v>
      </c>
      <c r="C160" t="s">
        <v>548</v>
      </c>
      <c r="D160" t="s">
        <v>55</v>
      </c>
      <c r="H160" s="3" t="s">
        <v>457</v>
      </c>
    </row>
    <row r="161" spans="1:8" x14ac:dyDescent="0.2">
      <c r="A161" t="s">
        <v>174</v>
      </c>
      <c r="B161" s="3" t="s">
        <v>457</v>
      </c>
      <c r="C161" t="s">
        <v>548</v>
      </c>
      <c r="D161" t="s">
        <v>55</v>
      </c>
      <c r="H161" s="3" t="s">
        <v>457</v>
      </c>
    </row>
    <row r="162" spans="1:8" x14ac:dyDescent="0.2">
      <c r="A162" t="s">
        <v>175</v>
      </c>
      <c r="B162" s="3" t="s">
        <v>415</v>
      </c>
      <c r="C162" t="s">
        <v>549</v>
      </c>
      <c r="D162" t="s">
        <v>55</v>
      </c>
      <c r="H162" s="3" t="s">
        <v>415</v>
      </c>
    </row>
    <row r="163" spans="1:8" x14ac:dyDescent="0.2">
      <c r="A163" t="s">
        <v>176</v>
      </c>
      <c r="B163" s="3" t="s">
        <v>416</v>
      </c>
      <c r="C163" t="s">
        <v>549</v>
      </c>
      <c r="D163" t="s">
        <v>55</v>
      </c>
      <c r="H163" s="3" t="s">
        <v>416</v>
      </c>
    </row>
    <row r="164" spans="1:8" x14ac:dyDescent="0.2">
      <c r="A164" t="s">
        <v>177</v>
      </c>
      <c r="B164" s="3" t="s">
        <v>417</v>
      </c>
      <c r="C164" t="s">
        <v>549</v>
      </c>
      <c r="D164" t="s">
        <v>55</v>
      </c>
      <c r="H164" s="3" t="s">
        <v>417</v>
      </c>
    </row>
    <row r="165" spans="1:8" x14ac:dyDescent="0.2">
      <c r="A165" t="s">
        <v>178</v>
      </c>
      <c r="B165" s="3" t="s">
        <v>418</v>
      </c>
      <c r="C165" t="s">
        <v>549</v>
      </c>
      <c r="D165" s="1">
        <v>27.295089721679688</v>
      </c>
      <c r="H165" s="3" t="s">
        <v>418</v>
      </c>
    </row>
    <row r="166" spans="1:8" x14ac:dyDescent="0.2">
      <c r="A166" t="s">
        <v>179</v>
      </c>
      <c r="B166" s="3" t="s">
        <v>419</v>
      </c>
      <c r="C166" t="s">
        <v>549</v>
      </c>
      <c r="D166" s="1">
        <v>26.794130325317383</v>
      </c>
      <c r="H166" s="3" t="s">
        <v>419</v>
      </c>
    </row>
    <row r="167" spans="1:8" x14ac:dyDescent="0.2">
      <c r="A167" t="s">
        <v>180</v>
      </c>
      <c r="B167" s="3" t="s">
        <v>420</v>
      </c>
      <c r="C167" t="s">
        <v>549</v>
      </c>
      <c r="D167" s="1">
        <v>27.376131057739258</v>
      </c>
      <c r="H167" s="3" t="s">
        <v>420</v>
      </c>
    </row>
    <row r="168" spans="1:8" x14ac:dyDescent="0.2">
      <c r="A168" t="s">
        <v>181</v>
      </c>
      <c r="B168" s="3" t="s">
        <v>421</v>
      </c>
      <c r="C168" t="s">
        <v>549</v>
      </c>
      <c r="D168" s="1">
        <v>28.352333068847656</v>
      </c>
      <c r="H168" s="3" t="s">
        <v>421</v>
      </c>
    </row>
    <row r="169" spans="1:8" x14ac:dyDescent="0.2">
      <c r="A169" t="s">
        <v>182</v>
      </c>
      <c r="B169" s="3" t="s">
        <v>422</v>
      </c>
      <c r="C169" t="s">
        <v>549</v>
      </c>
      <c r="D169" s="1">
        <v>28.502323150634766</v>
      </c>
      <c r="H169" s="3" t="s">
        <v>422</v>
      </c>
    </row>
    <row r="170" spans="1:8" x14ac:dyDescent="0.2">
      <c r="A170" t="s">
        <v>183</v>
      </c>
      <c r="B170" s="3" t="s">
        <v>423</v>
      </c>
      <c r="C170" t="s">
        <v>549</v>
      </c>
      <c r="D170" s="1">
        <v>28.406927108764648</v>
      </c>
      <c r="H170" s="3" t="s">
        <v>423</v>
      </c>
    </row>
    <row r="171" spans="1:8" x14ac:dyDescent="0.2">
      <c r="A171" t="s">
        <v>184</v>
      </c>
      <c r="B171" s="3" t="s">
        <v>424</v>
      </c>
      <c r="C171" t="s">
        <v>549</v>
      </c>
      <c r="D171" s="1">
        <v>29.378091812133789</v>
      </c>
      <c r="H171" s="3" t="s">
        <v>424</v>
      </c>
    </row>
    <row r="172" spans="1:8" x14ac:dyDescent="0.2">
      <c r="A172" t="s">
        <v>185</v>
      </c>
      <c r="B172" s="3" t="s">
        <v>425</v>
      </c>
      <c r="C172" t="s">
        <v>549</v>
      </c>
      <c r="D172" s="1">
        <v>29.359443664550781</v>
      </c>
      <c r="H172" s="3" t="s">
        <v>425</v>
      </c>
    </row>
    <row r="173" spans="1:8" x14ac:dyDescent="0.2">
      <c r="A173" t="s">
        <v>186</v>
      </c>
      <c r="B173" s="3" t="s">
        <v>426</v>
      </c>
      <c r="C173" t="s">
        <v>549</v>
      </c>
      <c r="D173" s="1">
        <v>29.50273323059082</v>
      </c>
      <c r="H173" s="3" t="s">
        <v>426</v>
      </c>
    </row>
    <row r="174" spans="1:8" x14ac:dyDescent="0.2">
      <c r="A174" t="s">
        <v>187</v>
      </c>
      <c r="B174" s="3" t="s">
        <v>427</v>
      </c>
      <c r="C174" t="s">
        <v>549</v>
      </c>
      <c r="D174" s="1">
        <v>30.908027648925781</v>
      </c>
      <c r="H174" s="3" t="s">
        <v>427</v>
      </c>
    </row>
    <row r="175" spans="1:8" x14ac:dyDescent="0.2">
      <c r="A175" t="s">
        <v>188</v>
      </c>
      <c r="B175" s="3" t="s">
        <v>428</v>
      </c>
      <c r="C175" t="s">
        <v>549</v>
      </c>
      <c r="D175" s="1">
        <v>30.688987731933594</v>
      </c>
      <c r="H175" s="3" t="s">
        <v>428</v>
      </c>
    </row>
    <row r="176" spans="1:8" x14ac:dyDescent="0.2">
      <c r="A176" t="s">
        <v>189</v>
      </c>
      <c r="B176" s="3" t="s">
        <v>429</v>
      </c>
      <c r="C176" t="s">
        <v>549</v>
      </c>
      <c r="D176" s="1">
        <v>30.725576400756836</v>
      </c>
      <c r="H176" s="3" t="s">
        <v>429</v>
      </c>
    </row>
    <row r="177" spans="1:8" x14ac:dyDescent="0.2">
      <c r="A177" t="s">
        <v>190</v>
      </c>
      <c r="B177" s="3" t="s">
        <v>430</v>
      </c>
      <c r="C177" t="s">
        <v>549</v>
      </c>
      <c r="D177" s="1">
        <v>31.783414840698242</v>
      </c>
      <c r="H177" s="3" t="s">
        <v>430</v>
      </c>
    </row>
    <row r="178" spans="1:8" x14ac:dyDescent="0.2">
      <c r="A178" t="s">
        <v>191</v>
      </c>
      <c r="B178" s="3" t="s">
        <v>431</v>
      </c>
      <c r="C178" t="s">
        <v>549</v>
      </c>
      <c r="D178" s="1">
        <v>31.746826171875</v>
      </c>
      <c r="H178" s="3" t="s">
        <v>431</v>
      </c>
    </row>
    <row r="179" spans="1:8" x14ac:dyDescent="0.2">
      <c r="A179" t="s">
        <v>192</v>
      </c>
      <c r="B179" s="3" t="s">
        <v>432</v>
      </c>
      <c r="C179" t="s">
        <v>549</v>
      </c>
      <c r="D179" s="1">
        <v>31.803207397460938</v>
      </c>
      <c r="H179" s="3" t="s">
        <v>432</v>
      </c>
    </row>
    <row r="180" spans="1:8" x14ac:dyDescent="0.2">
      <c r="A180" t="s">
        <v>193</v>
      </c>
      <c r="B180" s="3" t="s">
        <v>433</v>
      </c>
      <c r="C180" t="s">
        <v>549</v>
      </c>
      <c r="D180" s="1">
        <v>33.312923431396484</v>
      </c>
      <c r="H180" s="3" t="s">
        <v>433</v>
      </c>
    </row>
    <row r="181" spans="1:8" x14ac:dyDescent="0.2">
      <c r="A181" t="s">
        <v>194</v>
      </c>
      <c r="B181" s="3" t="s">
        <v>434</v>
      </c>
      <c r="C181" t="s">
        <v>549</v>
      </c>
      <c r="D181" s="1">
        <v>32.599376678466797</v>
      </c>
      <c r="H181" s="3" t="s">
        <v>434</v>
      </c>
    </row>
    <row r="182" spans="1:8" x14ac:dyDescent="0.2">
      <c r="A182" t="s">
        <v>195</v>
      </c>
      <c r="B182" s="3" t="s">
        <v>435</v>
      </c>
      <c r="C182" t="s">
        <v>549</v>
      </c>
      <c r="D182" s="1">
        <v>32.512344360351563</v>
      </c>
      <c r="H182" s="3" t="s">
        <v>435</v>
      </c>
    </row>
    <row r="183" spans="1:8" x14ac:dyDescent="0.2">
      <c r="A183" t="s">
        <v>196</v>
      </c>
      <c r="B183" s="15" t="s">
        <v>462</v>
      </c>
      <c r="C183" t="s">
        <v>549</v>
      </c>
      <c r="D183" s="1">
        <v>30.377719879150391</v>
      </c>
      <c r="H183" s="15" t="s">
        <v>462</v>
      </c>
    </row>
    <row r="184" spans="1:8" x14ac:dyDescent="0.2">
      <c r="A184" t="s">
        <v>197</v>
      </c>
      <c r="B184" s="15" t="s">
        <v>463</v>
      </c>
      <c r="C184" t="s">
        <v>549</v>
      </c>
      <c r="D184" s="1">
        <v>30.083036422729492</v>
      </c>
      <c r="H184" s="15" t="s">
        <v>463</v>
      </c>
    </row>
    <row r="185" spans="1:8" x14ac:dyDescent="0.2">
      <c r="A185" t="s">
        <v>198</v>
      </c>
      <c r="B185" s="15" t="s">
        <v>464</v>
      </c>
      <c r="C185" t="s">
        <v>549</v>
      </c>
      <c r="D185" s="1">
        <v>29.994346618652344</v>
      </c>
      <c r="H185" s="15" t="s">
        <v>464</v>
      </c>
    </row>
    <row r="186" spans="1:8" x14ac:dyDescent="0.2">
      <c r="A186" t="s">
        <v>199</v>
      </c>
      <c r="B186" s="15" t="s">
        <v>465</v>
      </c>
      <c r="C186" t="s">
        <v>549</v>
      </c>
      <c r="D186" s="1">
        <v>29.630935668945313</v>
      </c>
      <c r="H186" s="15" t="s">
        <v>465</v>
      </c>
    </row>
    <row r="187" spans="1:8" x14ac:dyDescent="0.2">
      <c r="A187" t="s">
        <v>200</v>
      </c>
      <c r="B187" s="15" t="s">
        <v>466</v>
      </c>
      <c r="C187" t="s">
        <v>549</v>
      </c>
      <c r="D187" s="1">
        <v>30.050498962402344</v>
      </c>
      <c r="H187" s="15" t="s">
        <v>466</v>
      </c>
    </row>
    <row r="188" spans="1:8" x14ac:dyDescent="0.2">
      <c r="A188" t="s">
        <v>201</v>
      </c>
      <c r="B188" s="15" t="s">
        <v>467</v>
      </c>
      <c r="C188" t="s">
        <v>549</v>
      </c>
      <c r="D188" s="1">
        <v>29.835216522216797</v>
      </c>
      <c r="H188" s="15" t="s">
        <v>467</v>
      </c>
    </row>
    <row r="189" spans="1:8" x14ac:dyDescent="0.2">
      <c r="A189" t="s">
        <v>202</v>
      </c>
      <c r="B189" s="15" t="s">
        <v>468</v>
      </c>
      <c r="C189" t="s">
        <v>549</v>
      </c>
      <c r="D189" s="1">
        <v>30.088499069213867</v>
      </c>
      <c r="H189" s="15" t="s">
        <v>468</v>
      </c>
    </row>
    <row r="190" spans="1:8" x14ac:dyDescent="0.2">
      <c r="A190" t="s">
        <v>203</v>
      </c>
      <c r="B190" s="15" t="s">
        <v>469</v>
      </c>
      <c r="C190" t="s">
        <v>549</v>
      </c>
      <c r="D190" s="1">
        <v>29.967531204223633</v>
      </c>
      <c r="H190" s="15" t="s">
        <v>469</v>
      </c>
    </row>
    <row r="191" spans="1:8" x14ac:dyDescent="0.2">
      <c r="A191" t="s">
        <v>204</v>
      </c>
      <c r="B191" s="15" t="s">
        <v>470</v>
      </c>
      <c r="C191" t="s">
        <v>549</v>
      </c>
      <c r="D191" s="1">
        <v>29.477798461914063</v>
      </c>
      <c r="H191" s="15" t="s">
        <v>470</v>
      </c>
    </row>
    <row r="192" spans="1:8" x14ac:dyDescent="0.2">
      <c r="A192" t="s">
        <v>205</v>
      </c>
      <c r="B192" s="15" t="s">
        <v>471</v>
      </c>
      <c r="C192" t="s">
        <v>549</v>
      </c>
      <c r="D192" s="1">
        <v>29.59699821472168</v>
      </c>
      <c r="H192" s="15" t="s">
        <v>471</v>
      </c>
    </row>
    <row r="193" spans="1:8" x14ac:dyDescent="0.2">
      <c r="A193" t="s">
        <v>206</v>
      </c>
      <c r="B193" s="15" t="s">
        <v>472</v>
      </c>
      <c r="C193" t="s">
        <v>549</v>
      </c>
      <c r="D193" s="1">
        <v>29.844268798828125</v>
      </c>
      <c r="H193" s="15" t="s">
        <v>472</v>
      </c>
    </row>
    <row r="194" spans="1:8" x14ac:dyDescent="0.2">
      <c r="A194" t="s">
        <v>207</v>
      </c>
      <c r="B194" s="15" t="s">
        <v>473</v>
      </c>
      <c r="C194" t="s">
        <v>549</v>
      </c>
      <c r="D194" s="1">
        <v>29.748432159423828</v>
      </c>
      <c r="H194" s="15" t="s">
        <v>473</v>
      </c>
    </row>
    <row r="195" spans="1:8" x14ac:dyDescent="0.2">
      <c r="A195" t="s">
        <v>208</v>
      </c>
      <c r="B195" s="15" t="s">
        <v>474</v>
      </c>
      <c r="C195" t="s">
        <v>549</v>
      </c>
      <c r="D195" s="1">
        <v>29.848403930664063</v>
      </c>
      <c r="H195" s="15" t="s">
        <v>474</v>
      </c>
    </row>
    <row r="196" spans="1:8" x14ac:dyDescent="0.2">
      <c r="A196" t="s">
        <v>209</v>
      </c>
      <c r="B196" s="15" t="s">
        <v>475</v>
      </c>
      <c r="C196" t="s">
        <v>549</v>
      </c>
      <c r="D196" s="1">
        <v>29.332874298095703</v>
      </c>
      <c r="H196" s="15" t="s">
        <v>475</v>
      </c>
    </row>
    <row r="197" spans="1:8" x14ac:dyDescent="0.2">
      <c r="A197" t="s">
        <v>210</v>
      </c>
      <c r="B197" s="15" t="s">
        <v>476</v>
      </c>
      <c r="C197" t="s">
        <v>549</v>
      </c>
      <c r="D197" s="1">
        <v>29.553991317749023</v>
      </c>
      <c r="H197" s="15" t="s">
        <v>476</v>
      </c>
    </row>
    <row r="198" spans="1:8" x14ac:dyDescent="0.2">
      <c r="A198" t="s">
        <v>211</v>
      </c>
      <c r="B198" s="15" t="s">
        <v>477</v>
      </c>
      <c r="C198" t="s">
        <v>549</v>
      </c>
      <c r="D198" s="1">
        <v>29.792234420776367</v>
      </c>
      <c r="H198" s="15" t="s">
        <v>477</v>
      </c>
    </row>
    <row r="199" spans="1:8" x14ac:dyDescent="0.2">
      <c r="A199" t="s">
        <v>212</v>
      </c>
      <c r="B199" s="15" t="s">
        <v>478</v>
      </c>
      <c r="C199" t="s">
        <v>549</v>
      </c>
      <c r="D199" s="1">
        <v>29.94603157043457</v>
      </c>
      <c r="H199" s="15" t="s">
        <v>478</v>
      </c>
    </row>
    <row r="200" spans="1:8" x14ac:dyDescent="0.2">
      <c r="A200" t="s">
        <v>213</v>
      </c>
      <c r="B200" s="15" t="s">
        <v>479</v>
      </c>
      <c r="C200" t="s">
        <v>549</v>
      </c>
      <c r="D200" s="1">
        <v>29.406227111816406</v>
      </c>
      <c r="H200" s="15" t="s">
        <v>479</v>
      </c>
    </row>
    <row r="201" spans="1:8" x14ac:dyDescent="0.2">
      <c r="A201" t="s">
        <v>214</v>
      </c>
      <c r="B201" s="15" t="s">
        <v>480</v>
      </c>
      <c r="C201" t="s">
        <v>549</v>
      </c>
      <c r="D201" s="1">
        <v>29.579296112060547</v>
      </c>
      <c r="H201" s="15" t="s">
        <v>480</v>
      </c>
    </row>
    <row r="202" spans="1:8" x14ac:dyDescent="0.2">
      <c r="A202" t="s">
        <v>215</v>
      </c>
      <c r="B202" s="15" t="s">
        <v>481</v>
      </c>
      <c r="C202" t="s">
        <v>549</v>
      </c>
      <c r="D202" s="1">
        <v>29.459980010986328</v>
      </c>
      <c r="H202" s="15" t="s">
        <v>481</v>
      </c>
    </row>
    <row r="203" spans="1:8" x14ac:dyDescent="0.2">
      <c r="A203" t="s">
        <v>216</v>
      </c>
      <c r="B203" s="15" t="s">
        <v>482</v>
      </c>
      <c r="C203" t="s">
        <v>549</v>
      </c>
      <c r="D203" s="1">
        <v>29.43641471862793</v>
      </c>
      <c r="H203" s="15" t="s">
        <v>482</v>
      </c>
    </row>
    <row r="204" spans="1:8" x14ac:dyDescent="0.2">
      <c r="A204" t="s">
        <v>217</v>
      </c>
      <c r="B204" s="15" t="s">
        <v>483</v>
      </c>
      <c r="C204" t="s">
        <v>549</v>
      </c>
      <c r="D204" s="1">
        <v>29.138919830322266</v>
      </c>
      <c r="H204" s="15" t="s">
        <v>483</v>
      </c>
    </row>
    <row r="205" spans="1:8" x14ac:dyDescent="0.2">
      <c r="A205" t="s">
        <v>218</v>
      </c>
      <c r="B205" s="15" t="s">
        <v>484</v>
      </c>
      <c r="C205" t="s">
        <v>549</v>
      </c>
      <c r="D205" s="1">
        <v>29.215593338012695</v>
      </c>
      <c r="H205" s="15" t="s">
        <v>484</v>
      </c>
    </row>
    <row r="206" spans="1:8" x14ac:dyDescent="0.2">
      <c r="A206" t="s">
        <v>219</v>
      </c>
      <c r="B206" s="15" t="s">
        <v>485</v>
      </c>
      <c r="C206" t="s">
        <v>549</v>
      </c>
      <c r="D206" s="1">
        <v>29.147748947143555</v>
      </c>
      <c r="H206" s="15" t="s">
        <v>485</v>
      </c>
    </row>
    <row r="207" spans="1:8" x14ac:dyDescent="0.2">
      <c r="A207" t="s">
        <v>220</v>
      </c>
      <c r="B207" s="15" t="s">
        <v>486</v>
      </c>
      <c r="C207" t="s">
        <v>549</v>
      </c>
      <c r="D207" s="1">
        <v>29.010639190673828</v>
      </c>
      <c r="H207" s="15" t="s">
        <v>486</v>
      </c>
    </row>
    <row r="208" spans="1:8" x14ac:dyDescent="0.2">
      <c r="A208" t="s">
        <v>221</v>
      </c>
      <c r="B208" s="15" t="s">
        <v>487</v>
      </c>
      <c r="C208" t="s">
        <v>549</v>
      </c>
      <c r="D208" s="1">
        <v>28.964544296264648</v>
      </c>
      <c r="H208" s="15" t="s">
        <v>487</v>
      </c>
    </row>
    <row r="209" spans="1:8" x14ac:dyDescent="0.2">
      <c r="A209" t="s">
        <v>222</v>
      </c>
      <c r="B209" s="15" t="s">
        <v>488</v>
      </c>
      <c r="C209" t="s">
        <v>549</v>
      </c>
      <c r="D209" s="1">
        <v>28.956045150756836</v>
      </c>
      <c r="H209" s="15" t="s">
        <v>488</v>
      </c>
    </row>
    <row r="210" spans="1:8" x14ac:dyDescent="0.2">
      <c r="A210" t="s">
        <v>223</v>
      </c>
      <c r="B210" s="15" t="s">
        <v>489</v>
      </c>
      <c r="C210" t="s">
        <v>549</v>
      </c>
      <c r="D210" s="1">
        <v>29.929695129394531</v>
      </c>
      <c r="H210" s="15" t="s">
        <v>489</v>
      </c>
    </row>
    <row r="211" spans="1:8" x14ac:dyDescent="0.2">
      <c r="A211" t="s">
        <v>224</v>
      </c>
      <c r="B211" s="15" t="s">
        <v>490</v>
      </c>
      <c r="C211" t="s">
        <v>549</v>
      </c>
      <c r="D211" s="1">
        <v>29.89988899230957</v>
      </c>
      <c r="H211" s="15" t="s">
        <v>490</v>
      </c>
    </row>
    <row r="212" spans="1:8" x14ac:dyDescent="0.2">
      <c r="A212" t="s">
        <v>225</v>
      </c>
      <c r="B212" s="15" t="s">
        <v>507</v>
      </c>
      <c r="C212" t="s">
        <v>549</v>
      </c>
      <c r="D212" s="1">
        <v>30.173625946044922</v>
      </c>
      <c r="H212" s="15" t="s">
        <v>507</v>
      </c>
    </row>
    <row r="213" spans="1:8" x14ac:dyDescent="0.2">
      <c r="A213" t="s">
        <v>226</v>
      </c>
      <c r="B213" s="15" t="s">
        <v>491</v>
      </c>
      <c r="C213" t="s">
        <v>549</v>
      </c>
      <c r="D213" s="1">
        <v>30.171077728271484</v>
      </c>
      <c r="H213" s="15" t="s">
        <v>491</v>
      </c>
    </row>
    <row r="214" spans="1:8" x14ac:dyDescent="0.2">
      <c r="A214" t="s">
        <v>227</v>
      </c>
      <c r="B214" s="15" t="s">
        <v>492</v>
      </c>
      <c r="C214" t="s">
        <v>549</v>
      </c>
      <c r="D214" s="1">
        <v>30.16429328918457</v>
      </c>
      <c r="H214" s="15" t="s">
        <v>492</v>
      </c>
    </row>
    <row r="215" spans="1:8" x14ac:dyDescent="0.2">
      <c r="A215" t="s">
        <v>228</v>
      </c>
      <c r="B215" s="15" t="s">
        <v>508</v>
      </c>
      <c r="C215" t="s">
        <v>549</v>
      </c>
      <c r="D215" s="1">
        <v>30.118326187133789</v>
      </c>
      <c r="H215" s="15" t="s">
        <v>508</v>
      </c>
    </row>
    <row r="216" spans="1:8" x14ac:dyDescent="0.2">
      <c r="A216" t="s">
        <v>229</v>
      </c>
      <c r="B216" s="15" t="s">
        <v>493</v>
      </c>
      <c r="C216" t="s">
        <v>549</v>
      </c>
      <c r="D216" s="1">
        <v>29.885597229003906</v>
      </c>
      <c r="H216" s="15" t="s">
        <v>493</v>
      </c>
    </row>
    <row r="217" spans="1:8" x14ac:dyDescent="0.2">
      <c r="A217" t="s">
        <v>230</v>
      </c>
      <c r="B217" s="15" t="s">
        <v>494</v>
      </c>
      <c r="C217" t="s">
        <v>549</v>
      </c>
      <c r="D217" s="1">
        <v>29.630672454833984</v>
      </c>
      <c r="H217" s="15" t="s">
        <v>494</v>
      </c>
    </row>
    <row r="218" spans="1:8" x14ac:dyDescent="0.2">
      <c r="A218" t="s">
        <v>231</v>
      </c>
      <c r="B218" s="15" t="s">
        <v>509</v>
      </c>
      <c r="C218" t="s">
        <v>549</v>
      </c>
      <c r="D218" s="1">
        <v>29.899635314941406</v>
      </c>
      <c r="H218" s="15" t="s">
        <v>509</v>
      </c>
    </row>
    <row r="219" spans="1:8" x14ac:dyDescent="0.2">
      <c r="A219" t="s">
        <v>232</v>
      </c>
      <c r="B219" s="15" t="s">
        <v>495</v>
      </c>
      <c r="C219" t="s">
        <v>549</v>
      </c>
      <c r="D219" s="1">
        <v>29.629938125610352</v>
      </c>
      <c r="H219" s="15" t="s">
        <v>495</v>
      </c>
    </row>
    <row r="220" spans="1:8" x14ac:dyDescent="0.2">
      <c r="A220" t="s">
        <v>233</v>
      </c>
      <c r="B220" s="15" t="s">
        <v>496</v>
      </c>
      <c r="C220" t="s">
        <v>549</v>
      </c>
      <c r="D220" s="1">
        <v>29.297826766967773</v>
      </c>
      <c r="H220" s="15" t="s">
        <v>496</v>
      </c>
    </row>
    <row r="221" spans="1:8" x14ac:dyDescent="0.2">
      <c r="A221" t="s">
        <v>234</v>
      </c>
      <c r="B221" s="15" t="s">
        <v>510</v>
      </c>
      <c r="C221" t="s">
        <v>549</v>
      </c>
      <c r="D221" s="1">
        <v>29.460395812988281</v>
      </c>
      <c r="H221" s="15" t="s">
        <v>510</v>
      </c>
    </row>
    <row r="222" spans="1:8" x14ac:dyDescent="0.2">
      <c r="A222" t="s">
        <v>235</v>
      </c>
      <c r="B222" s="15" t="s">
        <v>497</v>
      </c>
      <c r="C222" t="s">
        <v>549</v>
      </c>
      <c r="D222" s="1">
        <v>29.441009521484375</v>
      </c>
      <c r="H222" s="15" t="s">
        <v>497</v>
      </c>
    </row>
    <row r="223" spans="1:8" x14ac:dyDescent="0.2">
      <c r="A223" t="s">
        <v>236</v>
      </c>
      <c r="B223" s="15" t="s">
        <v>498</v>
      </c>
      <c r="C223" t="s">
        <v>549</v>
      </c>
      <c r="D223" s="1">
        <v>29.165557861328125</v>
      </c>
      <c r="H223" s="15" t="s">
        <v>498</v>
      </c>
    </row>
    <row r="224" spans="1:8" x14ac:dyDescent="0.2">
      <c r="A224" t="s">
        <v>237</v>
      </c>
      <c r="B224" s="15" t="s">
        <v>511</v>
      </c>
      <c r="C224" t="s">
        <v>549</v>
      </c>
      <c r="D224" s="1">
        <v>29.504415512084961</v>
      </c>
      <c r="H224" s="15" t="s">
        <v>511</v>
      </c>
    </row>
    <row r="225" spans="1:8" x14ac:dyDescent="0.2">
      <c r="A225" t="s">
        <v>238</v>
      </c>
      <c r="B225" s="15" t="s">
        <v>499</v>
      </c>
      <c r="C225" t="s">
        <v>549</v>
      </c>
      <c r="D225" s="1">
        <v>29.755624771118164</v>
      </c>
      <c r="H225" s="15" t="s">
        <v>499</v>
      </c>
    </row>
    <row r="226" spans="1:8" x14ac:dyDescent="0.2">
      <c r="A226" t="s">
        <v>239</v>
      </c>
      <c r="B226" s="15" t="s">
        <v>500</v>
      </c>
      <c r="C226" t="s">
        <v>549</v>
      </c>
      <c r="D226" s="1">
        <v>29.246086120605469</v>
      </c>
      <c r="H226" s="15" t="s">
        <v>500</v>
      </c>
    </row>
    <row r="227" spans="1:8" x14ac:dyDescent="0.2">
      <c r="A227" t="s">
        <v>240</v>
      </c>
      <c r="B227" s="15" t="s">
        <v>512</v>
      </c>
      <c r="C227" t="s">
        <v>549</v>
      </c>
      <c r="D227" s="1">
        <v>29.112211227416992</v>
      </c>
      <c r="H227" s="15" t="s">
        <v>512</v>
      </c>
    </row>
    <row r="228" spans="1:8" x14ac:dyDescent="0.2">
      <c r="A228" t="s">
        <v>241</v>
      </c>
      <c r="B228" s="15" t="s">
        <v>501</v>
      </c>
      <c r="C228" t="s">
        <v>549</v>
      </c>
      <c r="D228" s="1">
        <v>29.789628982543945</v>
      </c>
      <c r="H228" s="15" t="s">
        <v>501</v>
      </c>
    </row>
    <row r="229" spans="1:8" x14ac:dyDescent="0.2">
      <c r="A229" t="s">
        <v>242</v>
      </c>
      <c r="B229" s="15" t="s">
        <v>502</v>
      </c>
      <c r="C229" t="s">
        <v>549</v>
      </c>
      <c r="D229" s="1">
        <v>29.539888381958008</v>
      </c>
      <c r="H229" s="15" t="s">
        <v>502</v>
      </c>
    </row>
    <row r="230" spans="1:8" x14ac:dyDescent="0.2">
      <c r="A230" t="s">
        <v>243</v>
      </c>
      <c r="B230" s="15" t="s">
        <v>513</v>
      </c>
      <c r="C230" t="s">
        <v>549</v>
      </c>
      <c r="D230" s="1">
        <v>29.714145660400391</v>
      </c>
      <c r="H230" s="15" t="s">
        <v>513</v>
      </c>
    </row>
    <row r="231" spans="1:8" x14ac:dyDescent="0.2">
      <c r="A231" t="s">
        <v>244</v>
      </c>
      <c r="B231" s="15" t="s">
        <v>503</v>
      </c>
      <c r="C231" t="s">
        <v>549</v>
      </c>
      <c r="D231" s="1">
        <v>29.115257263183594</v>
      </c>
      <c r="H231" s="15" t="s">
        <v>503</v>
      </c>
    </row>
    <row r="232" spans="1:8" x14ac:dyDescent="0.2">
      <c r="A232" t="s">
        <v>245</v>
      </c>
      <c r="B232" s="15" t="s">
        <v>504</v>
      </c>
      <c r="C232" t="s">
        <v>549</v>
      </c>
      <c r="D232" s="1">
        <v>29.019336700439453</v>
      </c>
      <c r="H232" s="15" t="s">
        <v>504</v>
      </c>
    </row>
    <row r="233" spans="1:8" x14ac:dyDescent="0.2">
      <c r="A233" t="s">
        <v>246</v>
      </c>
      <c r="B233" s="15" t="s">
        <v>514</v>
      </c>
      <c r="C233" t="s">
        <v>549</v>
      </c>
      <c r="D233" s="1">
        <v>29.018350601196289</v>
      </c>
      <c r="H233" s="15" t="s">
        <v>514</v>
      </c>
    </row>
    <row r="234" spans="1:8" x14ac:dyDescent="0.2">
      <c r="A234" t="s">
        <v>247</v>
      </c>
      <c r="B234" s="15" t="s">
        <v>505</v>
      </c>
      <c r="C234" t="s">
        <v>549</v>
      </c>
      <c r="D234" s="1">
        <v>29.548244476318359</v>
      </c>
      <c r="H234" s="15" t="s">
        <v>505</v>
      </c>
    </row>
    <row r="235" spans="1:8" x14ac:dyDescent="0.2">
      <c r="A235" t="s">
        <v>248</v>
      </c>
      <c r="B235" s="15" t="s">
        <v>506</v>
      </c>
      <c r="C235" t="s">
        <v>549</v>
      </c>
      <c r="D235" s="1">
        <v>29.560142517089844</v>
      </c>
      <c r="H235" s="15" t="s">
        <v>506</v>
      </c>
    </row>
    <row r="236" spans="1:8" x14ac:dyDescent="0.2">
      <c r="A236" t="s">
        <v>249</v>
      </c>
      <c r="B236" s="15" t="s">
        <v>515</v>
      </c>
      <c r="C236" t="s">
        <v>549</v>
      </c>
      <c r="D236" s="1">
        <v>29.312467575073242</v>
      </c>
      <c r="H236" s="15" t="s">
        <v>515</v>
      </c>
    </row>
    <row r="237" spans="1:8" x14ac:dyDescent="0.2">
      <c r="A237" t="s">
        <v>250</v>
      </c>
      <c r="B237" s="15" t="s">
        <v>516</v>
      </c>
      <c r="C237" t="s">
        <v>549</v>
      </c>
      <c r="D237" s="1">
        <v>29.899936676025391</v>
      </c>
      <c r="H237" s="15" t="s">
        <v>516</v>
      </c>
    </row>
    <row r="238" spans="1:8" x14ac:dyDescent="0.2">
      <c r="A238" t="s">
        <v>251</v>
      </c>
      <c r="B238" s="15" t="s">
        <v>517</v>
      </c>
      <c r="C238" t="s">
        <v>549</v>
      </c>
      <c r="D238" s="1">
        <v>30.03870964050293</v>
      </c>
      <c r="H238" s="15" t="s">
        <v>517</v>
      </c>
    </row>
    <row r="239" spans="1:8" x14ac:dyDescent="0.2">
      <c r="A239" t="s">
        <v>252</v>
      </c>
      <c r="B239" s="15" t="s">
        <v>518</v>
      </c>
      <c r="C239" t="s">
        <v>549</v>
      </c>
      <c r="D239" s="1">
        <v>30.148773193359375</v>
      </c>
      <c r="H239" s="15" t="s">
        <v>518</v>
      </c>
    </row>
    <row r="240" spans="1:8" x14ac:dyDescent="0.2">
      <c r="A240" t="s">
        <v>253</v>
      </c>
      <c r="B240" s="15" t="s">
        <v>519</v>
      </c>
      <c r="C240" t="s">
        <v>549</v>
      </c>
      <c r="D240" s="1">
        <v>30.067409515380859</v>
      </c>
      <c r="H240" s="15" t="s">
        <v>519</v>
      </c>
    </row>
    <row r="241" spans="1:8" x14ac:dyDescent="0.2">
      <c r="A241" t="s">
        <v>254</v>
      </c>
      <c r="B241" s="15" t="s">
        <v>520</v>
      </c>
      <c r="C241" t="s">
        <v>549</v>
      </c>
      <c r="D241" s="1">
        <v>29.851802825927734</v>
      </c>
      <c r="H241" s="15" t="s">
        <v>520</v>
      </c>
    </row>
    <row r="242" spans="1:8" x14ac:dyDescent="0.2">
      <c r="A242" t="s">
        <v>255</v>
      </c>
      <c r="B242" s="15" t="s">
        <v>521</v>
      </c>
      <c r="C242" t="s">
        <v>549</v>
      </c>
      <c r="D242" s="1">
        <v>29.964147567749023</v>
      </c>
      <c r="H242" s="15" t="s">
        <v>521</v>
      </c>
    </row>
    <row r="243" spans="1:8" x14ac:dyDescent="0.2">
      <c r="A243" t="s">
        <v>256</v>
      </c>
      <c r="B243" s="15" t="s">
        <v>522</v>
      </c>
      <c r="C243" t="s">
        <v>549</v>
      </c>
      <c r="D243" s="1">
        <v>30.22840690612793</v>
      </c>
      <c r="H243" s="15" t="s">
        <v>522</v>
      </c>
    </row>
    <row r="244" spans="1:8" x14ac:dyDescent="0.2">
      <c r="A244" t="s">
        <v>257</v>
      </c>
      <c r="B244" s="15" t="s">
        <v>523</v>
      </c>
      <c r="C244" t="s">
        <v>549</v>
      </c>
      <c r="D244" s="1">
        <v>30.445880889892578</v>
      </c>
      <c r="H244" s="15" t="s">
        <v>523</v>
      </c>
    </row>
    <row r="245" spans="1:8" x14ac:dyDescent="0.2">
      <c r="A245" t="s">
        <v>258</v>
      </c>
      <c r="B245" s="15" t="s">
        <v>524</v>
      </c>
      <c r="C245" t="s">
        <v>549</v>
      </c>
      <c r="D245" s="1">
        <v>29.984125137329102</v>
      </c>
      <c r="H245" s="15" t="s">
        <v>524</v>
      </c>
    </row>
    <row r="246" spans="1:8" x14ac:dyDescent="0.2">
      <c r="A246" t="s">
        <v>259</v>
      </c>
      <c r="B246" s="15" t="s">
        <v>525</v>
      </c>
      <c r="C246" t="s">
        <v>549</v>
      </c>
      <c r="D246" s="1">
        <v>29.99955940246582</v>
      </c>
      <c r="H246" s="15" t="s">
        <v>525</v>
      </c>
    </row>
    <row r="247" spans="1:8" x14ac:dyDescent="0.2">
      <c r="A247" t="s">
        <v>260</v>
      </c>
      <c r="B247" s="15" t="s">
        <v>526</v>
      </c>
      <c r="C247" t="s">
        <v>549</v>
      </c>
      <c r="D247" s="1">
        <v>29.817577362060547</v>
      </c>
      <c r="H247" s="15" t="s">
        <v>526</v>
      </c>
    </row>
    <row r="248" spans="1:8" x14ac:dyDescent="0.2">
      <c r="A248" t="s">
        <v>261</v>
      </c>
      <c r="B248" s="15" t="s">
        <v>527</v>
      </c>
      <c r="C248" t="s">
        <v>549</v>
      </c>
      <c r="D248" s="1">
        <v>29.912509918212891</v>
      </c>
      <c r="H248" s="15" t="s">
        <v>527</v>
      </c>
    </row>
    <row r="249" spans="1:8" x14ac:dyDescent="0.2">
      <c r="A249" t="s">
        <v>262</v>
      </c>
      <c r="B249" s="15" t="s">
        <v>528</v>
      </c>
      <c r="C249" t="s">
        <v>549</v>
      </c>
      <c r="D249" s="1">
        <v>29.275470733642578</v>
      </c>
      <c r="H249" s="15" t="s">
        <v>528</v>
      </c>
    </row>
    <row r="250" spans="1:8" x14ac:dyDescent="0.2">
      <c r="A250" t="s">
        <v>263</v>
      </c>
      <c r="B250" s="15" t="s">
        <v>529</v>
      </c>
      <c r="C250" t="s">
        <v>549</v>
      </c>
      <c r="D250" s="1">
        <v>29.292446136474609</v>
      </c>
      <c r="H250" s="15" t="s">
        <v>529</v>
      </c>
    </row>
    <row r="251" spans="1:8" x14ac:dyDescent="0.2">
      <c r="A251" t="s">
        <v>264</v>
      </c>
      <c r="B251" s="15" t="s">
        <v>530</v>
      </c>
      <c r="C251" t="s">
        <v>549</v>
      </c>
      <c r="D251" s="1">
        <v>29.363758087158203</v>
      </c>
      <c r="H251" s="15" t="s">
        <v>530</v>
      </c>
    </row>
    <row r="252" spans="1:8" x14ac:dyDescent="0.2">
      <c r="A252" t="s">
        <v>265</v>
      </c>
      <c r="B252" s="15" t="s">
        <v>531</v>
      </c>
      <c r="C252" t="s">
        <v>549</v>
      </c>
      <c r="D252" s="1">
        <v>30.018589019775391</v>
      </c>
      <c r="H252" s="15" t="s">
        <v>531</v>
      </c>
    </row>
    <row r="253" spans="1:8" x14ac:dyDescent="0.2">
      <c r="A253" t="s">
        <v>266</v>
      </c>
      <c r="B253" s="15" t="s">
        <v>532</v>
      </c>
      <c r="C253" t="s">
        <v>549</v>
      </c>
      <c r="D253" s="1">
        <v>29.541532516479492</v>
      </c>
      <c r="H253" s="15" t="s">
        <v>532</v>
      </c>
    </row>
    <row r="254" spans="1:8" x14ac:dyDescent="0.2">
      <c r="A254" t="s">
        <v>267</v>
      </c>
      <c r="B254" s="15" t="s">
        <v>533</v>
      </c>
      <c r="C254" t="s">
        <v>549</v>
      </c>
      <c r="D254" s="1">
        <v>29.345285415649414</v>
      </c>
      <c r="H254" s="15" t="s">
        <v>533</v>
      </c>
    </row>
    <row r="255" spans="1:8" x14ac:dyDescent="0.2">
      <c r="A255" t="s">
        <v>268</v>
      </c>
      <c r="B255" s="15" t="s">
        <v>534</v>
      </c>
      <c r="C255" t="s">
        <v>549</v>
      </c>
      <c r="D255" s="1">
        <v>29.661115646362305</v>
      </c>
      <c r="H255" s="15" t="s">
        <v>534</v>
      </c>
    </row>
    <row r="256" spans="1:8" x14ac:dyDescent="0.2">
      <c r="A256" t="s">
        <v>269</v>
      </c>
      <c r="B256" s="15" t="s">
        <v>535</v>
      </c>
      <c r="C256" t="s">
        <v>549</v>
      </c>
      <c r="D256" s="1">
        <v>29.467805862426758</v>
      </c>
      <c r="H256" s="15" t="s">
        <v>535</v>
      </c>
    </row>
    <row r="257" spans="1:8" x14ac:dyDescent="0.2">
      <c r="A257" t="s">
        <v>270</v>
      </c>
      <c r="B257" s="15" t="s">
        <v>536</v>
      </c>
      <c r="C257" t="s">
        <v>549</v>
      </c>
      <c r="D257" s="1">
        <v>29.299493789672852</v>
      </c>
      <c r="H257" s="15" t="s">
        <v>536</v>
      </c>
    </row>
    <row r="258" spans="1:8" x14ac:dyDescent="0.2">
      <c r="A258" t="s">
        <v>271</v>
      </c>
      <c r="B258" s="15" t="s">
        <v>537</v>
      </c>
      <c r="C258" t="s">
        <v>549</v>
      </c>
      <c r="D258" s="1">
        <v>29.603761672973633</v>
      </c>
      <c r="H258" s="15" t="s">
        <v>537</v>
      </c>
    </row>
    <row r="259" spans="1:8" x14ac:dyDescent="0.2">
      <c r="A259" t="s">
        <v>272</v>
      </c>
      <c r="B259" s="15" t="s">
        <v>538</v>
      </c>
      <c r="C259" t="s">
        <v>549</v>
      </c>
      <c r="D259" s="1">
        <v>29.740901947021484</v>
      </c>
      <c r="H259" s="15" t="s">
        <v>538</v>
      </c>
    </row>
    <row r="260" spans="1:8" x14ac:dyDescent="0.2">
      <c r="A260" t="s">
        <v>273</v>
      </c>
      <c r="B260" s="15" t="s">
        <v>539</v>
      </c>
      <c r="C260" t="s">
        <v>549</v>
      </c>
      <c r="D260" s="1">
        <v>29.597152709960938</v>
      </c>
      <c r="H260" s="15" t="s">
        <v>539</v>
      </c>
    </row>
    <row r="261" spans="1:8" x14ac:dyDescent="0.2">
      <c r="A261" t="s">
        <v>274</v>
      </c>
      <c r="B261" s="15" t="s">
        <v>540</v>
      </c>
      <c r="C261" t="s">
        <v>549</v>
      </c>
      <c r="D261" s="1">
        <v>29.37230110168457</v>
      </c>
      <c r="H261" s="15" t="s">
        <v>540</v>
      </c>
    </row>
    <row r="262" spans="1:8" x14ac:dyDescent="0.2">
      <c r="A262" t="s">
        <v>275</v>
      </c>
      <c r="B262" s="15" t="s">
        <v>541</v>
      </c>
      <c r="C262" t="s">
        <v>549</v>
      </c>
      <c r="D262" s="1">
        <v>28.879438400268555</v>
      </c>
      <c r="H262" s="15" t="s">
        <v>541</v>
      </c>
    </row>
    <row r="263" spans="1:8" x14ac:dyDescent="0.2">
      <c r="A263" t="s">
        <v>276</v>
      </c>
      <c r="B263" s="15" t="s">
        <v>542</v>
      </c>
      <c r="C263" t="s">
        <v>549</v>
      </c>
      <c r="D263" s="1">
        <v>29.431732177734375</v>
      </c>
      <c r="H263" s="15" t="s">
        <v>542</v>
      </c>
    </row>
    <row r="264" spans="1:8" x14ac:dyDescent="0.2">
      <c r="A264" t="s">
        <v>277</v>
      </c>
      <c r="B264" s="3" t="s">
        <v>457</v>
      </c>
      <c r="C264" t="s">
        <v>549</v>
      </c>
      <c r="D264" t="s">
        <v>55</v>
      </c>
      <c r="H264" s="3" t="s">
        <v>457</v>
      </c>
    </row>
    <row r="265" spans="1:8" x14ac:dyDescent="0.2">
      <c r="A265" t="s">
        <v>278</v>
      </c>
      <c r="B265" s="3" t="s">
        <v>457</v>
      </c>
      <c r="C265" t="s">
        <v>549</v>
      </c>
      <c r="D265" t="s">
        <v>55</v>
      </c>
      <c r="H265" s="3" t="s">
        <v>457</v>
      </c>
    </row>
    <row r="266" spans="1:8" x14ac:dyDescent="0.2">
      <c r="A266" t="s">
        <v>279</v>
      </c>
      <c r="B266" s="3" t="s">
        <v>457</v>
      </c>
      <c r="C266" t="s">
        <v>549</v>
      </c>
      <c r="D266" t="s">
        <v>55</v>
      </c>
      <c r="H266" s="3" t="s">
        <v>457</v>
      </c>
    </row>
    <row r="267" spans="1:8" x14ac:dyDescent="0.2">
      <c r="A267" t="s">
        <v>280</v>
      </c>
      <c r="B267" s="3" t="s">
        <v>457</v>
      </c>
      <c r="C267" t="s">
        <v>549</v>
      </c>
      <c r="D267" t="s">
        <v>55</v>
      </c>
      <c r="H267" s="3" t="s">
        <v>457</v>
      </c>
    </row>
    <row r="268" spans="1:8" x14ac:dyDescent="0.2">
      <c r="A268" t="s">
        <v>281</v>
      </c>
      <c r="B268" s="3" t="s">
        <v>457</v>
      </c>
      <c r="C268" t="s">
        <v>549</v>
      </c>
      <c r="D268" t="s">
        <v>55</v>
      </c>
      <c r="H268" s="3" t="s">
        <v>457</v>
      </c>
    </row>
    <row r="269" spans="1:8" x14ac:dyDescent="0.2">
      <c r="A269" t="s">
        <v>282</v>
      </c>
      <c r="B269" s="3" t="s">
        <v>457</v>
      </c>
      <c r="C269" t="s">
        <v>549</v>
      </c>
      <c r="D269" t="s">
        <v>55</v>
      </c>
      <c r="H269" s="3" t="s">
        <v>457</v>
      </c>
    </row>
    <row r="270" spans="1:8" x14ac:dyDescent="0.2">
      <c r="A270" t="s">
        <v>283</v>
      </c>
      <c r="B270" s="3" t="s">
        <v>457</v>
      </c>
      <c r="C270" t="s">
        <v>549</v>
      </c>
      <c r="D270" t="s">
        <v>55</v>
      </c>
      <c r="H270" s="3" t="s">
        <v>457</v>
      </c>
    </row>
    <row r="271" spans="1:8" x14ac:dyDescent="0.2">
      <c r="A271" t="s">
        <v>284</v>
      </c>
      <c r="B271" s="3" t="s">
        <v>457</v>
      </c>
      <c r="C271" t="s">
        <v>549</v>
      </c>
      <c r="D271" t="s">
        <v>55</v>
      </c>
      <c r="H271" s="3" t="s">
        <v>457</v>
      </c>
    </row>
    <row r="272" spans="1:8" x14ac:dyDescent="0.2">
      <c r="A272" t="s">
        <v>285</v>
      </c>
      <c r="B272" s="3" t="s">
        <v>457</v>
      </c>
      <c r="C272" t="s">
        <v>549</v>
      </c>
      <c r="D272" t="s">
        <v>55</v>
      </c>
      <c r="H272" s="3" t="s">
        <v>457</v>
      </c>
    </row>
    <row r="273" spans="1:8" x14ac:dyDescent="0.2">
      <c r="A273" t="s">
        <v>286</v>
      </c>
      <c r="B273" s="3" t="s">
        <v>457</v>
      </c>
      <c r="C273" t="s">
        <v>549</v>
      </c>
      <c r="D273" t="s">
        <v>55</v>
      </c>
      <c r="H273" s="3" t="s">
        <v>457</v>
      </c>
    </row>
    <row r="274" spans="1:8" x14ac:dyDescent="0.2">
      <c r="A274" t="s">
        <v>287</v>
      </c>
      <c r="B274" s="3" t="s">
        <v>457</v>
      </c>
      <c r="C274" t="s">
        <v>549</v>
      </c>
      <c r="D274" t="s">
        <v>55</v>
      </c>
      <c r="H274" s="3" t="s">
        <v>457</v>
      </c>
    </row>
    <row r="275" spans="1:8" x14ac:dyDescent="0.2">
      <c r="A275" t="s">
        <v>288</v>
      </c>
      <c r="B275" s="3" t="s">
        <v>457</v>
      </c>
      <c r="C275" t="s">
        <v>549</v>
      </c>
      <c r="D275" t="s">
        <v>55</v>
      </c>
      <c r="H275" s="3" t="s">
        <v>457</v>
      </c>
    </row>
    <row r="276" spans="1:8" x14ac:dyDescent="0.2">
      <c r="A276" t="s">
        <v>289</v>
      </c>
      <c r="B276" s="3" t="s">
        <v>457</v>
      </c>
      <c r="C276" t="s">
        <v>549</v>
      </c>
      <c r="D276" t="s">
        <v>55</v>
      </c>
      <c r="H276" s="3" t="s">
        <v>457</v>
      </c>
    </row>
    <row r="277" spans="1:8" x14ac:dyDescent="0.2">
      <c r="A277" t="s">
        <v>290</v>
      </c>
      <c r="B277" s="3" t="s">
        <v>457</v>
      </c>
      <c r="C277" t="s">
        <v>549</v>
      </c>
      <c r="D277" t="s">
        <v>55</v>
      </c>
      <c r="H277" s="3" t="s">
        <v>457</v>
      </c>
    </row>
    <row r="278" spans="1:8" x14ac:dyDescent="0.2">
      <c r="A278" t="s">
        <v>291</v>
      </c>
      <c r="B278" s="3" t="s">
        <v>457</v>
      </c>
      <c r="C278" t="s">
        <v>549</v>
      </c>
      <c r="D278" t="s">
        <v>55</v>
      </c>
      <c r="H278" s="3" t="s">
        <v>457</v>
      </c>
    </row>
    <row r="279" spans="1:8" x14ac:dyDescent="0.2">
      <c r="A279" t="s">
        <v>292</v>
      </c>
      <c r="B279" s="3" t="s">
        <v>457</v>
      </c>
      <c r="C279" t="s">
        <v>549</v>
      </c>
      <c r="D279" t="s">
        <v>55</v>
      </c>
      <c r="H279" s="3" t="s">
        <v>457</v>
      </c>
    </row>
    <row r="280" spans="1:8" x14ac:dyDescent="0.2">
      <c r="A280" t="s">
        <v>293</v>
      </c>
      <c r="B280" s="3" t="s">
        <v>457</v>
      </c>
      <c r="C280" t="s">
        <v>549</v>
      </c>
      <c r="D280" t="s">
        <v>55</v>
      </c>
      <c r="H280" s="3" t="s">
        <v>457</v>
      </c>
    </row>
    <row r="281" spans="1:8" x14ac:dyDescent="0.2">
      <c r="A281" t="s">
        <v>294</v>
      </c>
      <c r="B281" s="3" t="s">
        <v>457</v>
      </c>
      <c r="C281" t="s">
        <v>549</v>
      </c>
      <c r="D281" t="s">
        <v>55</v>
      </c>
      <c r="H281" s="3" t="s">
        <v>457</v>
      </c>
    </row>
    <row r="282" spans="1:8" x14ac:dyDescent="0.2">
      <c r="A282" t="s">
        <v>295</v>
      </c>
      <c r="B282" s="3" t="s">
        <v>415</v>
      </c>
      <c r="C282" t="s">
        <v>550</v>
      </c>
      <c r="D282" t="s">
        <v>55</v>
      </c>
      <c r="H282" s="3" t="s">
        <v>415</v>
      </c>
    </row>
    <row r="283" spans="1:8" x14ac:dyDescent="0.2">
      <c r="A283" t="s">
        <v>296</v>
      </c>
      <c r="B283" s="3" t="s">
        <v>416</v>
      </c>
      <c r="C283" t="s">
        <v>550</v>
      </c>
      <c r="D283" s="1" t="s">
        <v>55</v>
      </c>
      <c r="H283" s="3" t="s">
        <v>416</v>
      </c>
    </row>
    <row r="284" spans="1:8" x14ac:dyDescent="0.2">
      <c r="A284" t="s">
        <v>297</v>
      </c>
      <c r="B284" s="3" t="s">
        <v>417</v>
      </c>
      <c r="C284" t="s">
        <v>550</v>
      </c>
      <c r="D284" t="s">
        <v>55</v>
      </c>
      <c r="H284" s="3" t="s">
        <v>417</v>
      </c>
    </row>
    <row r="285" spans="1:8" x14ac:dyDescent="0.2">
      <c r="A285" t="s">
        <v>298</v>
      </c>
      <c r="B285" s="3" t="s">
        <v>418</v>
      </c>
      <c r="C285" t="s">
        <v>550</v>
      </c>
      <c r="D285" s="1">
        <v>27.750694274902344</v>
      </c>
      <c r="H285" s="3" t="s">
        <v>418</v>
      </c>
    </row>
    <row r="286" spans="1:8" x14ac:dyDescent="0.2">
      <c r="A286" t="s">
        <v>299</v>
      </c>
      <c r="B286" s="3" t="s">
        <v>419</v>
      </c>
      <c r="C286" t="s">
        <v>550</v>
      </c>
      <c r="D286" s="1">
        <v>27.83936882019043</v>
      </c>
      <c r="H286" s="3" t="s">
        <v>419</v>
      </c>
    </row>
    <row r="287" spans="1:8" x14ac:dyDescent="0.2">
      <c r="A287" t="s">
        <v>300</v>
      </c>
      <c r="B287" s="3" t="s">
        <v>420</v>
      </c>
      <c r="C287" t="s">
        <v>550</v>
      </c>
      <c r="D287" s="1">
        <v>27.807977676391602</v>
      </c>
      <c r="H287" s="3" t="s">
        <v>420</v>
      </c>
    </row>
    <row r="288" spans="1:8" x14ac:dyDescent="0.2">
      <c r="A288" t="s">
        <v>301</v>
      </c>
      <c r="B288" s="3" t="s">
        <v>421</v>
      </c>
      <c r="C288" t="s">
        <v>550</v>
      </c>
      <c r="D288" s="1">
        <v>28.942834854125977</v>
      </c>
      <c r="H288" s="3" t="s">
        <v>421</v>
      </c>
    </row>
    <row r="289" spans="1:8" x14ac:dyDescent="0.2">
      <c r="A289" t="s">
        <v>302</v>
      </c>
      <c r="B289" s="3" t="s">
        <v>422</v>
      </c>
      <c r="C289" t="s">
        <v>550</v>
      </c>
      <c r="D289" s="1">
        <v>28.939777374267578</v>
      </c>
      <c r="H289" s="3" t="s">
        <v>422</v>
      </c>
    </row>
    <row r="290" spans="1:8" x14ac:dyDescent="0.2">
      <c r="A290" t="s">
        <v>303</v>
      </c>
      <c r="B290" s="3" t="s">
        <v>423</v>
      </c>
      <c r="C290" t="s">
        <v>550</v>
      </c>
      <c r="D290" s="1">
        <v>28.953422546386719</v>
      </c>
      <c r="H290" s="3" t="s">
        <v>423</v>
      </c>
    </row>
    <row r="291" spans="1:8" x14ac:dyDescent="0.2">
      <c r="A291" t="s">
        <v>304</v>
      </c>
      <c r="B291" s="3" t="s">
        <v>424</v>
      </c>
      <c r="C291" t="s">
        <v>550</v>
      </c>
      <c r="D291" s="1">
        <v>29.731817245483398</v>
      </c>
      <c r="H291" s="3" t="s">
        <v>424</v>
      </c>
    </row>
    <row r="292" spans="1:8" x14ac:dyDescent="0.2">
      <c r="A292" t="s">
        <v>305</v>
      </c>
      <c r="B292" s="3" t="s">
        <v>425</v>
      </c>
      <c r="C292" t="s">
        <v>550</v>
      </c>
      <c r="D292" s="1">
        <v>29.941741943359375</v>
      </c>
      <c r="H292" s="3" t="s">
        <v>425</v>
      </c>
    </row>
    <row r="293" spans="1:8" x14ac:dyDescent="0.2">
      <c r="A293" t="s">
        <v>306</v>
      </c>
      <c r="B293" s="3" t="s">
        <v>426</v>
      </c>
      <c r="C293" t="s">
        <v>550</v>
      </c>
      <c r="D293" s="1">
        <v>29.950569152832031</v>
      </c>
      <c r="H293" s="3" t="s">
        <v>426</v>
      </c>
    </row>
    <row r="294" spans="1:8" x14ac:dyDescent="0.2">
      <c r="A294" t="s">
        <v>307</v>
      </c>
      <c r="B294" s="3" t="s">
        <v>427</v>
      </c>
      <c r="C294" t="s">
        <v>550</v>
      </c>
      <c r="D294" s="1">
        <v>30.950613021850586</v>
      </c>
      <c r="H294" s="3" t="s">
        <v>427</v>
      </c>
    </row>
    <row r="295" spans="1:8" x14ac:dyDescent="0.2">
      <c r="A295" t="s">
        <v>308</v>
      </c>
      <c r="B295" s="3" t="s">
        <v>428</v>
      </c>
      <c r="C295" t="s">
        <v>550</v>
      </c>
      <c r="D295" s="1">
        <v>31.056110382080078</v>
      </c>
      <c r="H295" s="3" t="s">
        <v>428</v>
      </c>
    </row>
    <row r="296" spans="1:8" x14ac:dyDescent="0.2">
      <c r="A296" t="s">
        <v>309</v>
      </c>
      <c r="B296" s="3" t="s">
        <v>429</v>
      </c>
      <c r="C296" t="s">
        <v>550</v>
      </c>
      <c r="D296" s="1">
        <v>31.056657791137695</v>
      </c>
      <c r="H296" s="3" t="s">
        <v>429</v>
      </c>
    </row>
    <row r="297" spans="1:8" x14ac:dyDescent="0.2">
      <c r="A297" t="s">
        <v>310</v>
      </c>
      <c r="B297" s="3" t="s">
        <v>430</v>
      </c>
      <c r="C297" t="s">
        <v>550</v>
      </c>
      <c r="D297" s="1">
        <v>31.94622802734375</v>
      </c>
      <c r="H297" s="3" t="s">
        <v>430</v>
      </c>
    </row>
    <row r="298" spans="1:8" x14ac:dyDescent="0.2">
      <c r="A298" t="s">
        <v>311</v>
      </c>
      <c r="B298" s="3" t="s">
        <v>431</v>
      </c>
      <c r="C298" t="s">
        <v>550</v>
      </c>
      <c r="D298" s="1">
        <v>31.784809112548828</v>
      </c>
      <c r="H298" s="3" t="s">
        <v>431</v>
      </c>
    </row>
    <row r="299" spans="1:8" x14ac:dyDescent="0.2">
      <c r="A299" t="s">
        <v>312</v>
      </c>
      <c r="B299" s="3" t="s">
        <v>432</v>
      </c>
      <c r="C299" t="s">
        <v>550</v>
      </c>
      <c r="D299" s="1">
        <v>31.913948059082031</v>
      </c>
      <c r="H299" s="3" t="s">
        <v>432</v>
      </c>
    </row>
    <row r="300" spans="1:8" x14ac:dyDescent="0.2">
      <c r="A300" t="s">
        <v>313</v>
      </c>
      <c r="B300" s="3" t="s">
        <v>433</v>
      </c>
      <c r="C300" t="s">
        <v>550</v>
      </c>
      <c r="D300" s="1">
        <v>33.079200744628906</v>
      </c>
      <c r="H300" s="3" t="s">
        <v>433</v>
      </c>
    </row>
    <row r="301" spans="1:8" x14ac:dyDescent="0.2">
      <c r="A301" t="s">
        <v>314</v>
      </c>
      <c r="B301" s="3" t="s">
        <v>434</v>
      </c>
      <c r="C301" t="s">
        <v>550</v>
      </c>
      <c r="D301" s="1">
        <v>33.719272613525391</v>
      </c>
      <c r="H301" s="3" t="s">
        <v>434</v>
      </c>
    </row>
    <row r="302" spans="1:8" x14ac:dyDescent="0.2">
      <c r="A302" t="s">
        <v>315</v>
      </c>
      <c r="B302" s="3" t="s">
        <v>435</v>
      </c>
      <c r="C302" t="s">
        <v>550</v>
      </c>
      <c r="D302" s="1">
        <v>33.211177825927734</v>
      </c>
      <c r="H302" s="3" t="s">
        <v>435</v>
      </c>
    </row>
    <row r="303" spans="1:8" x14ac:dyDescent="0.2">
      <c r="A303" t="s">
        <v>316</v>
      </c>
      <c r="B303" s="15" t="s">
        <v>462</v>
      </c>
      <c r="C303" t="s">
        <v>550</v>
      </c>
      <c r="D303" s="1">
        <v>29.993144989013672</v>
      </c>
      <c r="H303" s="15" t="s">
        <v>462</v>
      </c>
    </row>
    <row r="304" spans="1:8" x14ac:dyDescent="0.2">
      <c r="A304" t="s">
        <v>317</v>
      </c>
      <c r="B304" s="15" t="s">
        <v>463</v>
      </c>
      <c r="C304" t="s">
        <v>550</v>
      </c>
      <c r="D304" s="1">
        <v>29.941734313964844</v>
      </c>
      <c r="H304" s="15" t="s">
        <v>463</v>
      </c>
    </row>
    <row r="305" spans="1:8" x14ac:dyDescent="0.2">
      <c r="A305" t="s">
        <v>318</v>
      </c>
      <c r="B305" s="15" t="s">
        <v>464</v>
      </c>
      <c r="C305" t="s">
        <v>550</v>
      </c>
      <c r="D305" s="1">
        <v>30.165193557739258</v>
      </c>
      <c r="H305" s="15" t="s">
        <v>464</v>
      </c>
    </row>
    <row r="306" spans="1:8" x14ac:dyDescent="0.2">
      <c r="A306" t="s">
        <v>319</v>
      </c>
      <c r="B306" s="15" t="s">
        <v>465</v>
      </c>
      <c r="C306" t="s">
        <v>550</v>
      </c>
      <c r="D306" s="1">
        <v>29.922615051269531</v>
      </c>
      <c r="H306" s="15" t="s">
        <v>465</v>
      </c>
    </row>
    <row r="307" spans="1:8" x14ac:dyDescent="0.2">
      <c r="A307" t="s">
        <v>320</v>
      </c>
      <c r="B307" s="15" t="s">
        <v>466</v>
      </c>
      <c r="C307" t="s">
        <v>550</v>
      </c>
      <c r="D307" s="1">
        <v>30.389976501464844</v>
      </c>
      <c r="H307" s="15" t="s">
        <v>466</v>
      </c>
    </row>
    <row r="308" spans="1:8" x14ac:dyDescent="0.2">
      <c r="A308" t="s">
        <v>321</v>
      </c>
      <c r="B308" s="15" t="s">
        <v>467</v>
      </c>
      <c r="C308" t="s">
        <v>550</v>
      </c>
      <c r="D308" s="1">
        <v>30.273782730102539</v>
      </c>
      <c r="H308" s="15" t="s">
        <v>467</v>
      </c>
    </row>
    <row r="309" spans="1:8" x14ac:dyDescent="0.2">
      <c r="A309" t="s">
        <v>322</v>
      </c>
      <c r="B309" s="15" t="s">
        <v>468</v>
      </c>
      <c r="C309" t="s">
        <v>550</v>
      </c>
      <c r="D309" s="1">
        <v>30.087507247924805</v>
      </c>
      <c r="H309" s="15" t="s">
        <v>468</v>
      </c>
    </row>
    <row r="310" spans="1:8" x14ac:dyDescent="0.2">
      <c r="A310" t="s">
        <v>323</v>
      </c>
      <c r="B310" s="15" t="s">
        <v>469</v>
      </c>
      <c r="C310" t="s">
        <v>550</v>
      </c>
      <c r="D310" s="1">
        <v>29.734752655029297</v>
      </c>
      <c r="H310" s="15" t="s">
        <v>469</v>
      </c>
    </row>
    <row r="311" spans="1:8" x14ac:dyDescent="0.2">
      <c r="A311" t="s">
        <v>324</v>
      </c>
      <c r="B311" s="15" t="s">
        <v>470</v>
      </c>
      <c r="C311" t="s">
        <v>550</v>
      </c>
      <c r="D311" s="1">
        <v>30.391019821166992</v>
      </c>
      <c r="H311" s="15" t="s">
        <v>470</v>
      </c>
    </row>
    <row r="312" spans="1:8" x14ac:dyDescent="0.2">
      <c r="A312" t="s">
        <v>325</v>
      </c>
      <c r="B312" s="15" t="s">
        <v>471</v>
      </c>
      <c r="C312" t="s">
        <v>550</v>
      </c>
      <c r="D312" s="1">
        <v>30.029563903808594</v>
      </c>
      <c r="H312" s="15" t="s">
        <v>471</v>
      </c>
    </row>
    <row r="313" spans="1:8" x14ac:dyDescent="0.2">
      <c r="A313" t="s">
        <v>326</v>
      </c>
      <c r="B313" s="15" t="s">
        <v>472</v>
      </c>
      <c r="C313" t="s">
        <v>550</v>
      </c>
      <c r="D313" s="1">
        <v>29.975229263305664</v>
      </c>
      <c r="H313" s="15" t="s">
        <v>472</v>
      </c>
    </row>
    <row r="314" spans="1:8" x14ac:dyDescent="0.2">
      <c r="A314" t="s">
        <v>327</v>
      </c>
      <c r="B314" s="15" t="s">
        <v>473</v>
      </c>
      <c r="C314" t="s">
        <v>550</v>
      </c>
      <c r="D314" s="1">
        <v>29.86583137512207</v>
      </c>
      <c r="H314" s="15" t="s">
        <v>473</v>
      </c>
    </row>
    <row r="315" spans="1:8" x14ac:dyDescent="0.2">
      <c r="A315" t="s">
        <v>328</v>
      </c>
      <c r="B315" s="15" t="s">
        <v>474</v>
      </c>
      <c r="C315" t="s">
        <v>550</v>
      </c>
      <c r="D315" s="1">
        <v>29.971193313598633</v>
      </c>
      <c r="H315" s="15" t="s">
        <v>474</v>
      </c>
    </row>
    <row r="316" spans="1:8" x14ac:dyDescent="0.2">
      <c r="A316" t="s">
        <v>329</v>
      </c>
      <c r="B316" s="15" t="s">
        <v>475</v>
      </c>
      <c r="C316" t="s">
        <v>550</v>
      </c>
      <c r="D316" s="1">
        <v>30.026365280151367</v>
      </c>
      <c r="H316" s="15" t="s">
        <v>475</v>
      </c>
    </row>
    <row r="317" spans="1:8" x14ac:dyDescent="0.2">
      <c r="A317" t="s">
        <v>330</v>
      </c>
      <c r="B317" s="15" t="s">
        <v>476</v>
      </c>
      <c r="C317" t="s">
        <v>550</v>
      </c>
      <c r="D317" s="1">
        <v>29.904207229614258</v>
      </c>
      <c r="H317" s="15" t="s">
        <v>476</v>
      </c>
    </row>
    <row r="318" spans="1:8" x14ac:dyDescent="0.2">
      <c r="A318" t="s">
        <v>331</v>
      </c>
      <c r="B318" s="15" t="s">
        <v>477</v>
      </c>
      <c r="C318" t="s">
        <v>550</v>
      </c>
      <c r="D318" s="1">
        <v>29.853458404541016</v>
      </c>
      <c r="H318" s="15" t="s">
        <v>477</v>
      </c>
    </row>
    <row r="319" spans="1:8" x14ac:dyDescent="0.2">
      <c r="A319" t="s">
        <v>332</v>
      </c>
      <c r="B319" s="15" t="s">
        <v>478</v>
      </c>
      <c r="C319" t="s">
        <v>550</v>
      </c>
      <c r="D319" s="1">
        <v>30.105108261108398</v>
      </c>
      <c r="H319" s="15" t="s">
        <v>478</v>
      </c>
    </row>
    <row r="320" spans="1:8" x14ac:dyDescent="0.2">
      <c r="A320" t="s">
        <v>333</v>
      </c>
      <c r="B320" s="15" t="s">
        <v>479</v>
      </c>
      <c r="C320" t="s">
        <v>550</v>
      </c>
      <c r="D320" s="1">
        <v>30.096723556518555</v>
      </c>
      <c r="H320" s="15" t="s">
        <v>479</v>
      </c>
    </row>
    <row r="321" spans="1:8" x14ac:dyDescent="0.2">
      <c r="A321" t="s">
        <v>334</v>
      </c>
      <c r="B321" s="15" t="s">
        <v>480</v>
      </c>
      <c r="C321" t="s">
        <v>550</v>
      </c>
      <c r="D321" s="1">
        <v>30.177688598632813</v>
      </c>
      <c r="H321" s="15" t="s">
        <v>480</v>
      </c>
    </row>
    <row r="322" spans="1:8" x14ac:dyDescent="0.2">
      <c r="A322" t="s">
        <v>335</v>
      </c>
      <c r="B322" s="15" t="s">
        <v>481</v>
      </c>
      <c r="C322" t="s">
        <v>550</v>
      </c>
      <c r="D322" s="1">
        <v>30.073541641235352</v>
      </c>
      <c r="H322" s="15" t="s">
        <v>481</v>
      </c>
    </row>
    <row r="323" spans="1:8" x14ac:dyDescent="0.2">
      <c r="A323" t="s">
        <v>336</v>
      </c>
      <c r="B323" s="15" t="s">
        <v>482</v>
      </c>
      <c r="C323" t="s">
        <v>550</v>
      </c>
      <c r="D323" s="1">
        <v>30.196805953979492</v>
      </c>
      <c r="H323" s="15" t="s">
        <v>482</v>
      </c>
    </row>
    <row r="324" spans="1:8" x14ac:dyDescent="0.2">
      <c r="A324" t="s">
        <v>337</v>
      </c>
      <c r="B324" s="15" t="s">
        <v>483</v>
      </c>
      <c r="C324" t="s">
        <v>550</v>
      </c>
      <c r="D324" s="1">
        <v>29.739414215087891</v>
      </c>
      <c r="H324" s="15" t="s">
        <v>483</v>
      </c>
    </row>
    <row r="325" spans="1:8" x14ac:dyDescent="0.2">
      <c r="A325" t="s">
        <v>338</v>
      </c>
      <c r="B325" s="15" t="s">
        <v>484</v>
      </c>
      <c r="C325" t="s">
        <v>550</v>
      </c>
      <c r="D325" s="1">
        <v>29.770971298217773</v>
      </c>
      <c r="H325" s="15" t="s">
        <v>484</v>
      </c>
    </row>
    <row r="326" spans="1:8" x14ac:dyDescent="0.2">
      <c r="A326" t="s">
        <v>339</v>
      </c>
      <c r="B326" s="15" t="s">
        <v>485</v>
      </c>
      <c r="C326" t="s">
        <v>550</v>
      </c>
      <c r="D326" s="1">
        <v>29.88972282409668</v>
      </c>
      <c r="H326" s="15" t="s">
        <v>485</v>
      </c>
    </row>
    <row r="327" spans="1:8" x14ac:dyDescent="0.2">
      <c r="A327" t="s">
        <v>340</v>
      </c>
      <c r="B327" s="15" t="s">
        <v>486</v>
      </c>
      <c r="C327" t="s">
        <v>550</v>
      </c>
      <c r="D327" s="1">
        <v>29.608434677124023</v>
      </c>
      <c r="H327" s="15" t="s">
        <v>486</v>
      </c>
    </row>
    <row r="328" spans="1:8" x14ac:dyDescent="0.2">
      <c r="A328" t="s">
        <v>341</v>
      </c>
      <c r="B328" s="15" t="s">
        <v>487</v>
      </c>
      <c r="C328" t="s">
        <v>550</v>
      </c>
      <c r="D328" s="1">
        <v>29.973487854003906</v>
      </c>
      <c r="H328" s="15" t="s">
        <v>487</v>
      </c>
    </row>
    <row r="329" spans="1:8" x14ac:dyDescent="0.2">
      <c r="A329" t="s">
        <v>342</v>
      </c>
      <c r="B329" s="15" t="s">
        <v>488</v>
      </c>
      <c r="C329" t="s">
        <v>550</v>
      </c>
      <c r="D329" s="1">
        <v>30.051549911499023</v>
      </c>
      <c r="H329" s="15" t="s">
        <v>488</v>
      </c>
    </row>
    <row r="330" spans="1:8" x14ac:dyDescent="0.2">
      <c r="A330" t="s">
        <v>343</v>
      </c>
      <c r="B330" s="15" t="s">
        <v>489</v>
      </c>
      <c r="C330" t="s">
        <v>550</v>
      </c>
      <c r="D330" s="1">
        <v>29.981678009033203</v>
      </c>
      <c r="H330" s="15" t="s">
        <v>489</v>
      </c>
    </row>
    <row r="331" spans="1:8" x14ac:dyDescent="0.2">
      <c r="A331" t="s">
        <v>344</v>
      </c>
      <c r="B331" s="15" t="s">
        <v>490</v>
      </c>
      <c r="C331" t="s">
        <v>550</v>
      </c>
      <c r="D331" s="1">
        <v>30.236776351928711</v>
      </c>
      <c r="H331" s="15" t="s">
        <v>490</v>
      </c>
    </row>
    <row r="332" spans="1:8" x14ac:dyDescent="0.2">
      <c r="A332" t="s">
        <v>345</v>
      </c>
      <c r="B332" s="15" t="s">
        <v>507</v>
      </c>
      <c r="C332" t="s">
        <v>550</v>
      </c>
      <c r="D332" s="1">
        <v>29.33043098449707</v>
      </c>
      <c r="H332" s="15" t="s">
        <v>507</v>
      </c>
    </row>
    <row r="333" spans="1:8" x14ac:dyDescent="0.2">
      <c r="A333" t="s">
        <v>346</v>
      </c>
      <c r="B333" s="15" t="s">
        <v>491</v>
      </c>
      <c r="C333" t="s">
        <v>550</v>
      </c>
      <c r="D333" s="1">
        <v>29.94373893737793</v>
      </c>
      <c r="H333" s="15" t="s">
        <v>491</v>
      </c>
    </row>
    <row r="334" spans="1:8" x14ac:dyDescent="0.2">
      <c r="A334" t="s">
        <v>347</v>
      </c>
      <c r="B334" s="15" t="s">
        <v>492</v>
      </c>
      <c r="C334" t="s">
        <v>550</v>
      </c>
      <c r="D334" s="1">
        <v>30.048076629638672</v>
      </c>
      <c r="H334" s="15" t="s">
        <v>492</v>
      </c>
    </row>
    <row r="335" spans="1:8" x14ac:dyDescent="0.2">
      <c r="A335" t="s">
        <v>348</v>
      </c>
      <c r="B335" s="15" t="s">
        <v>508</v>
      </c>
      <c r="C335" t="s">
        <v>550</v>
      </c>
      <c r="D335" s="1">
        <v>30.115179061889648</v>
      </c>
      <c r="H335" s="15" t="s">
        <v>508</v>
      </c>
    </row>
    <row r="336" spans="1:8" x14ac:dyDescent="0.2">
      <c r="A336" t="s">
        <v>349</v>
      </c>
      <c r="B336" s="15" t="s">
        <v>493</v>
      </c>
      <c r="C336" t="s">
        <v>550</v>
      </c>
      <c r="D336" s="1">
        <v>29.943954467773438</v>
      </c>
      <c r="H336" s="15" t="s">
        <v>493</v>
      </c>
    </row>
    <row r="337" spans="1:8" x14ac:dyDescent="0.2">
      <c r="A337" t="s">
        <v>350</v>
      </c>
      <c r="B337" s="15" t="s">
        <v>494</v>
      </c>
      <c r="C337" t="s">
        <v>550</v>
      </c>
      <c r="D337" s="1">
        <v>29.535346984863281</v>
      </c>
      <c r="H337" s="15" t="s">
        <v>494</v>
      </c>
    </row>
    <row r="338" spans="1:8" x14ac:dyDescent="0.2">
      <c r="A338" t="s">
        <v>351</v>
      </c>
      <c r="B338" s="15" t="s">
        <v>509</v>
      </c>
      <c r="C338" t="s">
        <v>550</v>
      </c>
      <c r="D338" s="1">
        <v>29.541967391967773</v>
      </c>
      <c r="H338" s="15" t="s">
        <v>509</v>
      </c>
    </row>
    <row r="339" spans="1:8" x14ac:dyDescent="0.2">
      <c r="A339" t="s">
        <v>352</v>
      </c>
      <c r="B339" s="15" t="s">
        <v>495</v>
      </c>
      <c r="C339" t="s">
        <v>550</v>
      </c>
      <c r="D339" s="1">
        <v>29.293571472167969</v>
      </c>
      <c r="H339" s="15" t="s">
        <v>495</v>
      </c>
    </row>
    <row r="340" spans="1:8" x14ac:dyDescent="0.2">
      <c r="A340" t="s">
        <v>353</v>
      </c>
      <c r="B340" s="15" t="s">
        <v>496</v>
      </c>
      <c r="C340" t="s">
        <v>550</v>
      </c>
      <c r="D340" s="1">
        <v>29.653400421142578</v>
      </c>
      <c r="H340" s="15" t="s">
        <v>496</v>
      </c>
    </row>
    <row r="341" spans="1:8" x14ac:dyDescent="0.2">
      <c r="A341" t="s">
        <v>354</v>
      </c>
      <c r="B341" s="15" t="s">
        <v>510</v>
      </c>
      <c r="C341" t="s">
        <v>550</v>
      </c>
      <c r="D341" s="1">
        <v>29.7403564453125</v>
      </c>
      <c r="H341" s="15" t="s">
        <v>510</v>
      </c>
    </row>
    <row r="342" spans="1:8" x14ac:dyDescent="0.2">
      <c r="A342" t="s">
        <v>355</v>
      </c>
      <c r="B342" s="15" t="s">
        <v>497</v>
      </c>
      <c r="C342" t="s">
        <v>550</v>
      </c>
      <c r="D342" s="1">
        <v>29.492654800415039</v>
      </c>
      <c r="H342" s="15" t="s">
        <v>497</v>
      </c>
    </row>
    <row r="343" spans="1:8" x14ac:dyDescent="0.2">
      <c r="A343" t="s">
        <v>356</v>
      </c>
      <c r="B343" s="15" t="s">
        <v>498</v>
      </c>
      <c r="C343" t="s">
        <v>550</v>
      </c>
      <c r="D343" s="1">
        <v>29.620019912719727</v>
      </c>
      <c r="H343" s="15" t="s">
        <v>498</v>
      </c>
    </row>
    <row r="344" spans="1:8" x14ac:dyDescent="0.2">
      <c r="A344" t="s">
        <v>357</v>
      </c>
      <c r="B344" s="15" t="s">
        <v>511</v>
      </c>
      <c r="C344" t="s">
        <v>550</v>
      </c>
      <c r="D344" s="1">
        <v>29.728782653808594</v>
      </c>
      <c r="H344" s="15" t="s">
        <v>511</v>
      </c>
    </row>
    <row r="345" spans="1:8" x14ac:dyDescent="0.2">
      <c r="A345" t="s">
        <v>358</v>
      </c>
      <c r="B345" s="15" t="s">
        <v>499</v>
      </c>
      <c r="C345" t="s">
        <v>550</v>
      </c>
      <c r="D345" s="1">
        <v>29.703996658325195</v>
      </c>
      <c r="H345" s="15" t="s">
        <v>499</v>
      </c>
    </row>
    <row r="346" spans="1:8" x14ac:dyDescent="0.2">
      <c r="A346" t="s">
        <v>359</v>
      </c>
      <c r="B346" s="15" t="s">
        <v>500</v>
      </c>
      <c r="C346" t="s">
        <v>550</v>
      </c>
      <c r="D346" s="1">
        <v>29.494169235229492</v>
      </c>
      <c r="H346" s="15" t="s">
        <v>500</v>
      </c>
    </row>
    <row r="347" spans="1:8" x14ac:dyDescent="0.2">
      <c r="A347" t="s">
        <v>360</v>
      </c>
      <c r="B347" s="15" t="s">
        <v>512</v>
      </c>
      <c r="C347" t="s">
        <v>550</v>
      </c>
      <c r="D347" s="1">
        <v>29.844131469726563</v>
      </c>
      <c r="H347" s="15" t="s">
        <v>512</v>
      </c>
    </row>
    <row r="348" spans="1:8" x14ac:dyDescent="0.2">
      <c r="A348" t="s">
        <v>361</v>
      </c>
      <c r="B348" s="15" t="s">
        <v>501</v>
      </c>
      <c r="C348" t="s">
        <v>550</v>
      </c>
      <c r="D348" s="1">
        <v>30.136524200439453</v>
      </c>
      <c r="H348" s="15" t="s">
        <v>501</v>
      </c>
    </row>
    <row r="349" spans="1:8" x14ac:dyDescent="0.2">
      <c r="A349" t="s">
        <v>362</v>
      </c>
      <c r="B349" s="15" t="s">
        <v>502</v>
      </c>
      <c r="C349" t="s">
        <v>550</v>
      </c>
      <c r="D349" s="1">
        <v>29.884620666503906</v>
      </c>
      <c r="H349" s="15" t="s">
        <v>502</v>
      </c>
    </row>
    <row r="350" spans="1:8" x14ac:dyDescent="0.2">
      <c r="A350" t="s">
        <v>363</v>
      </c>
      <c r="B350" s="15" t="s">
        <v>513</v>
      </c>
      <c r="C350" t="s">
        <v>550</v>
      </c>
      <c r="D350" s="1">
        <v>29.889577865600586</v>
      </c>
      <c r="H350" s="15" t="s">
        <v>513</v>
      </c>
    </row>
    <row r="351" spans="1:8" x14ac:dyDescent="0.2">
      <c r="A351" t="s">
        <v>364</v>
      </c>
      <c r="B351" s="15" t="s">
        <v>503</v>
      </c>
      <c r="C351" t="s">
        <v>550</v>
      </c>
      <c r="D351" s="1">
        <v>29.486026763916016</v>
      </c>
      <c r="H351" s="15" t="s">
        <v>503</v>
      </c>
    </row>
    <row r="352" spans="1:8" x14ac:dyDescent="0.2">
      <c r="A352" t="s">
        <v>365</v>
      </c>
      <c r="B352" s="15" t="s">
        <v>504</v>
      </c>
      <c r="C352" t="s">
        <v>550</v>
      </c>
      <c r="D352" s="1">
        <v>29.411886215209961</v>
      </c>
      <c r="H352" s="15" t="s">
        <v>504</v>
      </c>
    </row>
    <row r="353" spans="1:8" x14ac:dyDescent="0.2">
      <c r="A353" t="s">
        <v>366</v>
      </c>
      <c r="B353" s="15" t="s">
        <v>514</v>
      </c>
      <c r="C353" t="s">
        <v>550</v>
      </c>
      <c r="D353" s="1">
        <v>29.360712051391602</v>
      </c>
      <c r="H353" s="15" t="s">
        <v>514</v>
      </c>
    </row>
    <row r="354" spans="1:8" x14ac:dyDescent="0.2">
      <c r="A354" t="s">
        <v>367</v>
      </c>
      <c r="B354" s="15" t="s">
        <v>505</v>
      </c>
      <c r="C354" t="s">
        <v>550</v>
      </c>
      <c r="D354" s="1">
        <v>29.742483139038086</v>
      </c>
      <c r="H354" s="15" t="s">
        <v>505</v>
      </c>
    </row>
    <row r="355" spans="1:8" x14ac:dyDescent="0.2">
      <c r="A355" t="s">
        <v>368</v>
      </c>
      <c r="B355" s="15" t="s">
        <v>506</v>
      </c>
      <c r="C355" t="s">
        <v>550</v>
      </c>
      <c r="D355" s="1">
        <v>29.765886306762695</v>
      </c>
      <c r="H355" s="15" t="s">
        <v>506</v>
      </c>
    </row>
    <row r="356" spans="1:8" x14ac:dyDescent="0.2">
      <c r="A356" t="s">
        <v>369</v>
      </c>
      <c r="B356" s="15" t="s">
        <v>515</v>
      </c>
      <c r="C356" t="s">
        <v>550</v>
      </c>
      <c r="D356" s="1">
        <v>30.00379753112793</v>
      </c>
      <c r="H356" s="15" t="s">
        <v>515</v>
      </c>
    </row>
    <row r="357" spans="1:8" x14ac:dyDescent="0.2">
      <c r="A357" t="s">
        <v>370</v>
      </c>
      <c r="B357" s="15" t="s">
        <v>516</v>
      </c>
      <c r="C357" t="s">
        <v>550</v>
      </c>
      <c r="D357" s="1">
        <v>29.73271369934082</v>
      </c>
      <c r="H357" s="15" t="s">
        <v>516</v>
      </c>
    </row>
    <row r="358" spans="1:8" x14ac:dyDescent="0.2">
      <c r="A358" t="s">
        <v>371</v>
      </c>
      <c r="B358" s="15" t="s">
        <v>517</v>
      </c>
      <c r="C358" t="s">
        <v>550</v>
      </c>
      <c r="D358" s="1">
        <v>30.041641235351563</v>
      </c>
      <c r="H358" s="15" t="s">
        <v>517</v>
      </c>
    </row>
    <row r="359" spans="1:8" x14ac:dyDescent="0.2">
      <c r="A359" t="s">
        <v>372</v>
      </c>
      <c r="B359" s="15" t="s">
        <v>518</v>
      </c>
      <c r="C359" t="s">
        <v>550</v>
      </c>
      <c r="D359" s="1">
        <v>29.849395751953125</v>
      </c>
      <c r="H359" s="15" t="s">
        <v>518</v>
      </c>
    </row>
    <row r="360" spans="1:8" x14ac:dyDescent="0.2">
      <c r="A360" t="s">
        <v>373</v>
      </c>
      <c r="B360" s="15" t="s">
        <v>519</v>
      </c>
      <c r="C360" t="s">
        <v>550</v>
      </c>
      <c r="D360" s="1">
        <v>29.967319488525391</v>
      </c>
      <c r="H360" s="15" t="s">
        <v>519</v>
      </c>
    </row>
    <row r="361" spans="1:8" x14ac:dyDescent="0.2">
      <c r="A361" t="s">
        <v>374</v>
      </c>
      <c r="B361" s="15" t="s">
        <v>520</v>
      </c>
      <c r="C361" t="s">
        <v>550</v>
      </c>
      <c r="D361" s="1">
        <v>29.945743560791016</v>
      </c>
      <c r="H361" s="15" t="s">
        <v>520</v>
      </c>
    </row>
    <row r="362" spans="1:8" x14ac:dyDescent="0.2">
      <c r="A362" t="s">
        <v>375</v>
      </c>
      <c r="B362" s="15" t="s">
        <v>521</v>
      </c>
      <c r="C362" t="s">
        <v>550</v>
      </c>
      <c r="D362" s="1">
        <v>29.652421951293945</v>
      </c>
      <c r="H362" s="15" t="s">
        <v>521</v>
      </c>
    </row>
    <row r="363" spans="1:8" x14ac:dyDescent="0.2">
      <c r="A363" t="s">
        <v>376</v>
      </c>
      <c r="B363" s="15" t="s">
        <v>522</v>
      </c>
      <c r="C363" t="s">
        <v>550</v>
      </c>
      <c r="D363" s="1">
        <v>30.191143035888672</v>
      </c>
      <c r="H363" s="15" t="s">
        <v>522</v>
      </c>
    </row>
    <row r="364" spans="1:8" x14ac:dyDescent="0.2">
      <c r="A364" t="s">
        <v>377</v>
      </c>
      <c r="B364" s="15" t="s">
        <v>523</v>
      </c>
      <c r="C364" t="s">
        <v>550</v>
      </c>
      <c r="D364" s="1">
        <v>29.928468704223633</v>
      </c>
      <c r="H364" s="15" t="s">
        <v>523</v>
      </c>
    </row>
    <row r="365" spans="1:8" x14ac:dyDescent="0.2">
      <c r="A365" t="s">
        <v>378</v>
      </c>
      <c r="B365" s="15" t="s">
        <v>524</v>
      </c>
      <c r="C365" t="s">
        <v>550</v>
      </c>
      <c r="D365" s="1">
        <v>30.198728561401367</v>
      </c>
      <c r="H365" s="15" t="s">
        <v>524</v>
      </c>
    </row>
    <row r="366" spans="1:8" x14ac:dyDescent="0.2">
      <c r="A366" t="s">
        <v>379</v>
      </c>
      <c r="B366" s="15" t="s">
        <v>525</v>
      </c>
      <c r="C366" t="s">
        <v>550</v>
      </c>
      <c r="D366" s="1">
        <v>30.117006301879883</v>
      </c>
      <c r="H366" s="15" t="s">
        <v>525</v>
      </c>
    </row>
    <row r="367" spans="1:8" x14ac:dyDescent="0.2">
      <c r="A367" t="s">
        <v>380</v>
      </c>
      <c r="B367" s="15" t="s">
        <v>526</v>
      </c>
      <c r="C367" t="s">
        <v>550</v>
      </c>
      <c r="D367" s="1">
        <v>30.068544387817383</v>
      </c>
      <c r="H367" s="15" t="s">
        <v>526</v>
      </c>
    </row>
    <row r="368" spans="1:8" x14ac:dyDescent="0.2">
      <c r="A368" t="s">
        <v>381</v>
      </c>
      <c r="B368" s="15" t="s">
        <v>527</v>
      </c>
      <c r="C368" t="s">
        <v>550</v>
      </c>
      <c r="D368" s="1">
        <v>29.878452301025391</v>
      </c>
      <c r="H368" s="15" t="s">
        <v>527</v>
      </c>
    </row>
    <row r="369" spans="1:8" x14ac:dyDescent="0.2">
      <c r="A369" t="s">
        <v>382</v>
      </c>
      <c r="B369" s="15" t="s">
        <v>528</v>
      </c>
      <c r="C369" t="s">
        <v>550</v>
      </c>
      <c r="D369" s="1">
        <v>29.645999908447266</v>
      </c>
      <c r="H369" s="15" t="s">
        <v>528</v>
      </c>
    </row>
    <row r="370" spans="1:8" x14ac:dyDescent="0.2">
      <c r="A370" t="s">
        <v>383</v>
      </c>
      <c r="B370" s="15" t="s">
        <v>529</v>
      </c>
      <c r="C370" t="s">
        <v>550</v>
      </c>
      <c r="D370" s="1">
        <v>29.683233261108398</v>
      </c>
      <c r="H370" s="15" t="s">
        <v>529</v>
      </c>
    </row>
    <row r="371" spans="1:8" x14ac:dyDescent="0.2">
      <c r="A371" t="s">
        <v>384</v>
      </c>
      <c r="B371" s="15" t="s">
        <v>530</v>
      </c>
      <c r="C371" t="s">
        <v>550</v>
      </c>
      <c r="D371" s="1">
        <v>29.562482833862305</v>
      </c>
      <c r="H371" s="15" t="s">
        <v>530</v>
      </c>
    </row>
    <row r="372" spans="1:8" x14ac:dyDescent="0.2">
      <c r="A372" t="s">
        <v>385</v>
      </c>
      <c r="B372" s="15" t="s">
        <v>531</v>
      </c>
      <c r="C372" t="s">
        <v>550</v>
      </c>
      <c r="D372" s="1">
        <v>29.764236450195313</v>
      </c>
      <c r="H372" s="15" t="s">
        <v>531</v>
      </c>
    </row>
    <row r="373" spans="1:8" x14ac:dyDescent="0.2">
      <c r="A373" t="s">
        <v>386</v>
      </c>
      <c r="B373" s="15" t="s">
        <v>532</v>
      </c>
      <c r="C373" t="s">
        <v>550</v>
      </c>
      <c r="D373" s="1">
        <v>29.734210968017578</v>
      </c>
      <c r="H373" s="15" t="s">
        <v>532</v>
      </c>
    </row>
    <row r="374" spans="1:8" x14ac:dyDescent="0.2">
      <c r="A374" t="s">
        <v>387</v>
      </c>
      <c r="B374" s="15" t="s">
        <v>533</v>
      </c>
      <c r="C374" t="s">
        <v>550</v>
      </c>
      <c r="D374" s="1">
        <v>29.961299896240234</v>
      </c>
      <c r="H374" s="15" t="s">
        <v>533</v>
      </c>
    </row>
    <row r="375" spans="1:8" x14ac:dyDescent="0.2">
      <c r="A375" t="s">
        <v>388</v>
      </c>
      <c r="B375" s="15" t="s">
        <v>534</v>
      </c>
      <c r="C375" t="s">
        <v>550</v>
      </c>
      <c r="D375" s="1">
        <v>29.912971496582031</v>
      </c>
      <c r="H375" s="15" t="s">
        <v>534</v>
      </c>
    </row>
    <row r="376" spans="1:8" x14ac:dyDescent="0.2">
      <c r="A376" t="s">
        <v>389</v>
      </c>
      <c r="B376" s="15" t="s">
        <v>535</v>
      </c>
      <c r="C376" t="s">
        <v>550</v>
      </c>
      <c r="D376" s="1">
        <v>29.767955780029297</v>
      </c>
      <c r="H376" s="15" t="s">
        <v>535</v>
      </c>
    </row>
    <row r="377" spans="1:8" x14ac:dyDescent="0.2">
      <c r="A377" t="s">
        <v>390</v>
      </c>
      <c r="B377" s="15" t="s">
        <v>536</v>
      </c>
      <c r="C377" t="s">
        <v>550</v>
      </c>
      <c r="D377" s="1">
        <v>29.953042984008789</v>
      </c>
      <c r="H377" s="15" t="s">
        <v>536</v>
      </c>
    </row>
    <row r="378" spans="1:8" x14ac:dyDescent="0.2">
      <c r="A378" t="s">
        <v>391</v>
      </c>
      <c r="B378" s="15" t="s">
        <v>537</v>
      </c>
      <c r="C378" t="s">
        <v>550</v>
      </c>
      <c r="D378" s="1">
        <v>29.766740798950195</v>
      </c>
      <c r="H378" s="15" t="s">
        <v>537</v>
      </c>
    </row>
    <row r="379" spans="1:8" x14ac:dyDescent="0.2">
      <c r="A379" t="s">
        <v>392</v>
      </c>
      <c r="B379" s="15" t="s">
        <v>538</v>
      </c>
      <c r="C379" t="s">
        <v>550</v>
      </c>
      <c r="D379" s="1">
        <v>29.575054168701172</v>
      </c>
      <c r="H379" s="15" t="s">
        <v>538</v>
      </c>
    </row>
    <row r="380" spans="1:8" x14ac:dyDescent="0.2">
      <c r="A380" t="s">
        <v>393</v>
      </c>
      <c r="B380" s="15" t="s">
        <v>539</v>
      </c>
      <c r="C380" t="s">
        <v>550</v>
      </c>
      <c r="D380" s="1">
        <v>29.763467788696289</v>
      </c>
      <c r="H380" s="15" t="s">
        <v>539</v>
      </c>
    </row>
    <row r="381" spans="1:8" x14ac:dyDescent="0.2">
      <c r="A381" t="s">
        <v>394</v>
      </c>
      <c r="B381" s="15" t="s">
        <v>540</v>
      </c>
      <c r="C381" t="s">
        <v>550</v>
      </c>
      <c r="D381" s="1">
        <v>29.876031875610352</v>
      </c>
      <c r="H381" s="15" t="s">
        <v>540</v>
      </c>
    </row>
    <row r="382" spans="1:8" x14ac:dyDescent="0.2">
      <c r="A382" t="s">
        <v>395</v>
      </c>
      <c r="B382" s="15" t="s">
        <v>541</v>
      </c>
      <c r="C382" t="s">
        <v>550</v>
      </c>
      <c r="D382" s="1">
        <v>29.847785949707031</v>
      </c>
      <c r="H382" s="15" t="s">
        <v>541</v>
      </c>
    </row>
    <row r="383" spans="1:8" x14ac:dyDescent="0.2">
      <c r="A383" t="s">
        <v>396</v>
      </c>
      <c r="B383" s="15" t="s">
        <v>542</v>
      </c>
      <c r="C383" t="s">
        <v>550</v>
      </c>
      <c r="D383" s="1">
        <v>29.756742477416992</v>
      </c>
      <c r="H383" s="15" t="s">
        <v>542</v>
      </c>
    </row>
    <row r="384" spans="1:8" x14ac:dyDescent="0.2">
      <c r="A384" t="s">
        <v>397</v>
      </c>
      <c r="B384" s="3" t="s">
        <v>457</v>
      </c>
      <c r="C384" t="s">
        <v>550</v>
      </c>
      <c r="D384" s="1" t="s">
        <v>55</v>
      </c>
      <c r="H384" s="3" t="s">
        <v>457</v>
      </c>
    </row>
    <row r="385" spans="1:8" x14ac:dyDescent="0.2">
      <c r="A385" t="s">
        <v>398</v>
      </c>
      <c r="B385" s="3" t="s">
        <v>457</v>
      </c>
      <c r="C385" t="s">
        <v>550</v>
      </c>
      <c r="D385" s="1" t="s">
        <v>55</v>
      </c>
      <c r="H385" s="3" t="s">
        <v>457</v>
      </c>
    </row>
    <row r="386" spans="1:8" x14ac:dyDescent="0.2">
      <c r="A386" t="s">
        <v>399</v>
      </c>
      <c r="B386" s="3" t="s">
        <v>457</v>
      </c>
      <c r="C386" t="s">
        <v>550</v>
      </c>
      <c r="D386" s="1" t="s">
        <v>55</v>
      </c>
      <c r="H386" s="3" t="s">
        <v>457</v>
      </c>
    </row>
    <row r="387" spans="1:8" x14ac:dyDescent="0.2">
      <c r="A387" t="s">
        <v>400</v>
      </c>
      <c r="B387" s="3" t="s">
        <v>457</v>
      </c>
      <c r="C387" t="s">
        <v>550</v>
      </c>
      <c r="D387" s="1" t="s">
        <v>55</v>
      </c>
      <c r="H387" s="3" t="s">
        <v>457</v>
      </c>
    </row>
    <row r="388" spans="1:8" x14ac:dyDescent="0.2">
      <c r="A388" t="s">
        <v>401</v>
      </c>
      <c r="B388" s="3" t="s">
        <v>457</v>
      </c>
      <c r="C388" t="s">
        <v>550</v>
      </c>
      <c r="D388" s="1" t="s">
        <v>55</v>
      </c>
      <c r="H388" s="3" t="s">
        <v>457</v>
      </c>
    </row>
    <row r="389" spans="1:8" x14ac:dyDescent="0.2">
      <c r="A389" t="s">
        <v>402</v>
      </c>
      <c r="B389" s="3" t="s">
        <v>457</v>
      </c>
      <c r="C389" t="s">
        <v>550</v>
      </c>
      <c r="D389" s="1" t="s">
        <v>55</v>
      </c>
      <c r="H389" s="3" t="s">
        <v>457</v>
      </c>
    </row>
    <row r="390" spans="1:8" x14ac:dyDescent="0.2">
      <c r="A390" t="s">
        <v>403</v>
      </c>
      <c r="B390" s="3" t="s">
        <v>457</v>
      </c>
      <c r="C390" t="s">
        <v>550</v>
      </c>
      <c r="D390" s="1" t="s">
        <v>55</v>
      </c>
      <c r="H390" s="3" t="s">
        <v>457</v>
      </c>
    </row>
    <row r="391" spans="1:8" x14ac:dyDescent="0.2">
      <c r="A391" t="s">
        <v>404</v>
      </c>
      <c r="B391" s="3" t="s">
        <v>457</v>
      </c>
      <c r="C391" t="s">
        <v>550</v>
      </c>
      <c r="D391" s="1" t="s">
        <v>55</v>
      </c>
      <c r="H391" s="3" t="s">
        <v>457</v>
      </c>
    </row>
    <row r="392" spans="1:8" x14ac:dyDescent="0.2">
      <c r="A392" t="s">
        <v>405</v>
      </c>
      <c r="B392" s="3" t="s">
        <v>457</v>
      </c>
      <c r="C392" t="s">
        <v>550</v>
      </c>
      <c r="D392" s="1" t="s">
        <v>55</v>
      </c>
      <c r="H392" s="3" t="s">
        <v>457</v>
      </c>
    </row>
    <row r="393" spans="1:8" x14ac:dyDescent="0.2">
      <c r="A393" t="s">
        <v>406</v>
      </c>
      <c r="B393" s="3" t="s">
        <v>457</v>
      </c>
      <c r="C393" t="s">
        <v>550</v>
      </c>
      <c r="D393" s="1" t="s">
        <v>55</v>
      </c>
      <c r="H393" s="3" t="s">
        <v>457</v>
      </c>
    </row>
    <row r="394" spans="1:8" x14ac:dyDescent="0.2">
      <c r="A394" t="s">
        <v>407</v>
      </c>
      <c r="B394" s="3" t="s">
        <v>457</v>
      </c>
      <c r="C394" t="s">
        <v>550</v>
      </c>
      <c r="D394" s="1" t="s">
        <v>55</v>
      </c>
      <c r="H394" s="3" t="s">
        <v>457</v>
      </c>
    </row>
    <row r="395" spans="1:8" x14ac:dyDescent="0.2">
      <c r="A395" t="s">
        <v>408</v>
      </c>
      <c r="B395" s="3" t="s">
        <v>457</v>
      </c>
      <c r="C395" t="s">
        <v>550</v>
      </c>
      <c r="D395" s="1" t="s">
        <v>55</v>
      </c>
      <c r="H395" s="3" t="s">
        <v>457</v>
      </c>
    </row>
    <row r="396" spans="1:8" x14ac:dyDescent="0.2">
      <c r="A396" t="s">
        <v>409</v>
      </c>
      <c r="B396" s="3" t="s">
        <v>457</v>
      </c>
      <c r="C396" t="s">
        <v>550</v>
      </c>
      <c r="D396" s="1" t="s">
        <v>55</v>
      </c>
      <c r="H396" s="3" t="s">
        <v>457</v>
      </c>
    </row>
    <row r="397" spans="1:8" x14ac:dyDescent="0.2">
      <c r="A397" t="s">
        <v>410</v>
      </c>
      <c r="B397" s="3" t="s">
        <v>457</v>
      </c>
      <c r="C397" t="s">
        <v>550</v>
      </c>
      <c r="D397" s="1" t="s">
        <v>55</v>
      </c>
      <c r="H397" s="3" t="s">
        <v>457</v>
      </c>
    </row>
    <row r="398" spans="1:8" x14ac:dyDescent="0.2">
      <c r="A398" t="s">
        <v>411</v>
      </c>
      <c r="B398" s="3" t="s">
        <v>457</v>
      </c>
      <c r="C398" t="s">
        <v>550</v>
      </c>
      <c r="D398" s="1" t="s">
        <v>55</v>
      </c>
      <c r="H398" s="3" t="s">
        <v>457</v>
      </c>
    </row>
    <row r="399" spans="1:8" x14ac:dyDescent="0.2">
      <c r="A399" t="s">
        <v>412</v>
      </c>
      <c r="B399" s="3" t="s">
        <v>457</v>
      </c>
      <c r="C399" t="s">
        <v>550</v>
      </c>
      <c r="D399" t="s">
        <v>55</v>
      </c>
      <c r="H399" s="3" t="s">
        <v>457</v>
      </c>
    </row>
    <row r="400" spans="1:8" x14ac:dyDescent="0.2">
      <c r="A400" t="s">
        <v>413</v>
      </c>
      <c r="B400" s="3" t="s">
        <v>457</v>
      </c>
      <c r="C400" t="s">
        <v>550</v>
      </c>
      <c r="D400" t="s">
        <v>55</v>
      </c>
      <c r="H400" s="3" t="s">
        <v>457</v>
      </c>
    </row>
    <row r="401" spans="1:8" x14ac:dyDescent="0.2">
      <c r="A401" t="s">
        <v>414</v>
      </c>
      <c r="B401" s="3" t="s">
        <v>457</v>
      </c>
      <c r="C401" t="s">
        <v>550</v>
      </c>
      <c r="D401" t="s">
        <v>55</v>
      </c>
      <c r="H401" s="3" t="s">
        <v>457</v>
      </c>
    </row>
    <row r="402" spans="1:8" x14ac:dyDescent="0.2">
      <c r="H402" s="3"/>
    </row>
    <row r="403" spans="1:8" x14ac:dyDescent="0.2">
      <c r="H403" s="3"/>
    </row>
    <row r="404" spans="1:8" x14ac:dyDescent="0.2">
      <c r="H404" s="3"/>
    </row>
    <row r="405" spans="1:8" x14ac:dyDescent="0.2">
      <c r="H405" s="3"/>
    </row>
    <row r="406" spans="1:8" x14ac:dyDescent="0.2">
      <c r="H406" s="3"/>
    </row>
    <row r="407" spans="1:8" x14ac:dyDescent="0.2">
      <c r="H407" s="3"/>
    </row>
    <row r="408" spans="1:8" x14ac:dyDescent="0.2">
      <c r="H408" s="3"/>
    </row>
    <row r="409" spans="1:8" x14ac:dyDescent="0.2">
      <c r="H409" s="3"/>
    </row>
    <row r="410" spans="1:8" x14ac:dyDescent="0.2">
      <c r="H410" s="3"/>
    </row>
    <row r="411" spans="1:8" x14ac:dyDescent="0.2">
      <c r="H411" s="3"/>
    </row>
    <row r="412" spans="1:8" x14ac:dyDescent="0.2">
      <c r="H412" s="3"/>
    </row>
    <row r="413" spans="1:8" x14ac:dyDescent="0.2">
      <c r="H413" s="3"/>
    </row>
    <row r="414" spans="1:8" x14ac:dyDescent="0.2">
      <c r="H414" s="3"/>
    </row>
    <row r="415" spans="1:8" x14ac:dyDescent="0.2">
      <c r="H415" s="3"/>
    </row>
    <row r="416" spans="1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6"/>
  <sheetViews>
    <sheetView topLeftCell="A262" workbookViewId="0">
      <selection activeCell="I284" sqref="I284"/>
    </sheetView>
  </sheetViews>
  <sheetFormatPr defaultRowHeight="12.75" x14ac:dyDescent="0.2"/>
  <cols>
    <col min="1" max="1" width="13.28515625" style="8" customWidth="1"/>
    <col min="2" max="2" width="16.85546875" style="8" customWidth="1"/>
    <col min="3" max="3" width="14.85546875" style="8" customWidth="1"/>
    <col min="4" max="4" width="14.7109375" style="8" customWidth="1"/>
    <col min="5" max="5" width="12.85546875" bestFit="1" customWidth="1"/>
  </cols>
  <sheetData>
    <row r="2" spans="1:6" ht="16.5" x14ac:dyDescent="0.2">
      <c r="A2" s="4" t="s">
        <v>436</v>
      </c>
      <c r="B2" s="4" t="s">
        <v>437</v>
      </c>
      <c r="C2" s="4" t="s">
        <v>438</v>
      </c>
      <c r="D2" s="4" t="s">
        <v>51</v>
      </c>
      <c r="E2" s="4" t="s">
        <v>452</v>
      </c>
      <c r="F2" s="4" t="s">
        <v>453</v>
      </c>
    </row>
    <row r="3" spans="1:6" ht="14.25" x14ac:dyDescent="0.2">
      <c r="A3" s="5" t="s">
        <v>54</v>
      </c>
      <c r="B3" s="6" t="str">
        <f>VLOOKUP(A3,'Exported Results'!A$42:D$161,4,FALSE)</f>
        <v>Undetermined</v>
      </c>
      <c r="C3" s="6">
        <f t="shared" ref="C3:C66" si="0">IF(B3="Undetermined",40.1,B3)</f>
        <v>40.1</v>
      </c>
      <c r="D3" s="3" t="str">
        <f>VLOOKUP(A3,'Exported Results'!A$42:D$161,2,FALSE)</f>
        <v>Blank 1.a</v>
      </c>
      <c r="E3" s="14">
        <f>AVERAGE(C3:C5)</f>
        <v>40.1</v>
      </c>
      <c r="F3">
        <f>_xlfn.STDEV.P(C3:C5)</f>
        <v>0</v>
      </c>
    </row>
    <row r="4" spans="1:6" ht="14.25" x14ac:dyDescent="0.2">
      <c r="A4" s="5" t="s">
        <v>56</v>
      </c>
      <c r="B4" s="6" t="str">
        <f>VLOOKUP(A4,'Exported Results'!A$42:D$161,4,FALSE)</f>
        <v>Undetermined</v>
      </c>
      <c r="C4" s="6">
        <f t="shared" si="0"/>
        <v>40.1</v>
      </c>
      <c r="D4" s="3" t="str">
        <f>VLOOKUP(A4,'Exported Results'!A$42:D$161,2,FALSE)</f>
        <v>Blank 1.b</v>
      </c>
    </row>
    <row r="5" spans="1:6" ht="14.25" x14ac:dyDescent="0.2">
      <c r="A5" s="5" t="s">
        <v>57</v>
      </c>
      <c r="B5" s="6" t="str">
        <f>VLOOKUP(A5,'Exported Results'!A$42:D$161,4,FALSE)</f>
        <v>Undetermined</v>
      </c>
      <c r="C5" s="6">
        <f t="shared" si="0"/>
        <v>40.1</v>
      </c>
      <c r="D5" s="3" t="str">
        <f>VLOOKUP(A5,'Exported Results'!A$42:D$161,2,FALSE)</f>
        <v>Blank 1.c</v>
      </c>
    </row>
    <row r="6" spans="1:6" ht="14.25" x14ac:dyDescent="0.2">
      <c r="A6" s="5" t="s">
        <v>58</v>
      </c>
      <c r="B6" s="6">
        <f>VLOOKUP(A6,'Exported Results'!A$42:D$161,4,FALSE)</f>
        <v>26.391090393066406</v>
      </c>
      <c r="C6" s="6">
        <f t="shared" si="0"/>
        <v>26.391090393066406</v>
      </c>
      <c r="D6" s="3" t="str">
        <f>VLOOKUP(A6,'Exported Results'!A$42:D$161,2,FALSE)</f>
        <v>STD 10a</v>
      </c>
      <c r="E6" s="14">
        <f>AVERAGE(C6:C8)</f>
        <v>26.454331715901692</v>
      </c>
      <c r="F6">
        <f>_xlfn.STDEV.P(C6:C8)</f>
        <v>4.4736821409909984E-2</v>
      </c>
    </row>
    <row r="7" spans="1:6" ht="14.25" x14ac:dyDescent="0.2">
      <c r="A7" s="5" t="s">
        <v>59</v>
      </c>
      <c r="B7" s="6">
        <f>VLOOKUP(A7,'Exported Results'!A$42:D$161,4,FALSE)</f>
        <v>26.487525939941406</v>
      </c>
      <c r="C7" s="6">
        <f t="shared" si="0"/>
        <v>26.487525939941406</v>
      </c>
      <c r="D7" s="3" t="str">
        <f>VLOOKUP(A7,'Exported Results'!A$42:D$161,2,FALSE)</f>
        <v>STD 10b</v>
      </c>
    </row>
    <row r="8" spans="1:6" ht="14.25" x14ac:dyDescent="0.2">
      <c r="A8" s="5" t="s">
        <v>60</v>
      </c>
      <c r="B8" s="6">
        <f>VLOOKUP(A8,'Exported Results'!A$42:D$161,4,FALSE)</f>
        <v>26.484378814697266</v>
      </c>
      <c r="C8" s="6">
        <f t="shared" si="0"/>
        <v>26.484378814697266</v>
      </c>
      <c r="D8" s="3" t="str">
        <f>VLOOKUP(A8,'Exported Results'!A$42:D$161,2,FALSE)</f>
        <v>STD 10c</v>
      </c>
    </row>
    <row r="9" spans="1:6" ht="14.25" x14ac:dyDescent="0.2">
      <c r="A9" s="5" t="s">
        <v>61</v>
      </c>
      <c r="B9" s="6">
        <f>VLOOKUP(A9,'Exported Results'!A$42:D$161,4,FALSE)</f>
        <v>27.587766647338867</v>
      </c>
      <c r="C9" s="6">
        <f t="shared" si="0"/>
        <v>27.587766647338867</v>
      </c>
      <c r="D9" s="3" t="str">
        <f>VLOOKUP(A9,'Exported Results'!A$42:D$161,2,FALSE)</f>
        <v>STD 20a</v>
      </c>
      <c r="E9" s="14">
        <f>AVERAGE(C9:C11)</f>
        <v>27.547679265340168</v>
      </c>
      <c r="F9">
        <f>_xlfn.STDEV.P(C9:C11)</f>
        <v>4.2624888139695352E-2</v>
      </c>
    </row>
    <row r="10" spans="1:6" ht="14.25" x14ac:dyDescent="0.2">
      <c r="A10" s="5" t="s">
        <v>62</v>
      </c>
      <c r="B10" s="6">
        <f>VLOOKUP(A10,'Exported Results'!A$42:D$161,4,FALSE)</f>
        <v>27.4886474609375</v>
      </c>
      <c r="C10" s="6">
        <f t="shared" si="0"/>
        <v>27.4886474609375</v>
      </c>
      <c r="D10" s="3" t="str">
        <f>VLOOKUP(A10,'Exported Results'!A$42:D$161,2,FALSE)</f>
        <v>STD 20b</v>
      </c>
    </row>
    <row r="11" spans="1:6" ht="14.25" x14ac:dyDescent="0.2">
      <c r="A11" s="5" t="s">
        <v>63</v>
      </c>
      <c r="B11" s="6">
        <f>VLOOKUP(A11,'Exported Results'!A$42:D$161,4,FALSE)</f>
        <v>27.566623687744141</v>
      </c>
      <c r="C11" s="6">
        <f t="shared" si="0"/>
        <v>27.566623687744141</v>
      </c>
      <c r="D11" s="3" t="str">
        <f>VLOOKUP(A11,'Exported Results'!A$42:D$161,2,FALSE)</f>
        <v>STD 20c</v>
      </c>
    </row>
    <row r="12" spans="1:6" ht="14.25" x14ac:dyDescent="0.2">
      <c r="A12" s="5" t="s">
        <v>64</v>
      </c>
      <c r="B12" s="6">
        <f>VLOOKUP(A12,'Exported Results'!A$42:D$161,4,FALSE)</f>
        <v>28.831033706665039</v>
      </c>
      <c r="C12" s="6">
        <f t="shared" si="0"/>
        <v>28.831033706665039</v>
      </c>
      <c r="D12" s="3" t="str">
        <f>VLOOKUP(A12,'Exported Results'!A$42:D$161,2,FALSE)</f>
        <v>STD 40a</v>
      </c>
      <c r="E12" s="14">
        <f>AVERAGE(C12:C14)</f>
        <v>28.690064112345379</v>
      </c>
      <c r="F12">
        <f>_xlfn.STDEV.P(C12:C14)</f>
        <v>0.10508603631830205</v>
      </c>
    </row>
    <row r="13" spans="1:6" ht="14.25" x14ac:dyDescent="0.2">
      <c r="A13" s="5" t="s">
        <v>65</v>
      </c>
      <c r="B13" s="6">
        <f>VLOOKUP(A13,'Exported Results'!A$42:D$161,4,FALSE)</f>
        <v>28.66032600402832</v>
      </c>
      <c r="C13" s="6">
        <f t="shared" si="0"/>
        <v>28.66032600402832</v>
      </c>
      <c r="D13" s="3" t="str">
        <f>VLOOKUP(A13,'Exported Results'!A$42:D$161,2,FALSE)</f>
        <v>STD 40b</v>
      </c>
    </row>
    <row r="14" spans="1:6" ht="14.25" x14ac:dyDescent="0.2">
      <c r="A14" s="5" t="s">
        <v>66</v>
      </c>
      <c r="B14" s="6">
        <f>VLOOKUP(A14,'Exported Results'!A$42:D$161,4,FALSE)</f>
        <v>28.578832626342773</v>
      </c>
      <c r="C14" s="6">
        <f t="shared" si="0"/>
        <v>28.578832626342773</v>
      </c>
      <c r="D14" s="3" t="str">
        <f>VLOOKUP(A14,'Exported Results'!A$42:D$161,2,FALSE)</f>
        <v>STD 40c</v>
      </c>
    </row>
    <row r="15" spans="1:6" ht="14.25" x14ac:dyDescent="0.2">
      <c r="A15" s="5" t="s">
        <v>67</v>
      </c>
      <c r="B15" s="6">
        <f>VLOOKUP(A15,'Exported Results'!A$42:D$161,4,FALSE)</f>
        <v>29.895351409912109</v>
      </c>
      <c r="C15" s="6">
        <f t="shared" si="0"/>
        <v>29.895351409912109</v>
      </c>
      <c r="D15" s="3" t="str">
        <f>VLOOKUP(A15,'Exported Results'!A$42:D$161,2,FALSE)</f>
        <v>STD 80a</v>
      </c>
      <c r="E15" s="14">
        <f>AVERAGE(C15:C17)</f>
        <v>29.917539596557617</v>
      </c>
      <c r="F15">
        <f>_xlfn.STDEV.P(C15:C17)</f>
        <v>9.7986949992719563E-2</v>
      </c>
    </row>
    <row r="16" spans="1:6" ht="14.25" x14ac:dyDescent="0.2">
      <c r="A16" s="5" t="s">
        <v>68</v>
      </c>
      <c r="B16" s="6">
        <f>VLOOKUP(A16,'Exported Results'!A$42:D$161,4,FALSE)</f>
        <v>30.047094345092773</v>
      </c>
      <c r="C16" s="6">
        <f t="shared" si="0"/>
        <v>30.047094345092773</v>
      </c>
      <c r="D16" s="3" t="str">
        <f>VLOOKUP(A16,'Exported Results'!A$42:D$161,2,FALSE)</f>
        <v>STD 80b</v>
      </c>
    </row>
    <row r="17" spans="1:6" ht="14.25" x14ac:dyDescent="0.2">
      <c r="A17" s="5" t="s">
        <v>69</v>
      </c>
      <c r="B17" s="6">
        <f>VLOOKUP(A17,'Exported Results'!A$42:D$161,4,FALSE)</f>
        <v>29.810173034667969</v>
      </c>
      <c r="C17" s="6">
        <f t="shared" si="0"/>
        <v>29.810173034667969</v>
      </c>
      <c r="D17" s="3" t="str">
        <f>VLOOKUP(A17,'Exported Results'!A$42:D$161,2,FALSE)</f>
        <v>STD 80c</v>
      </c>
    </row>
    <row r="18" spans="1:6" ht="14.25" x14ac:dyDescent="0.2">
      <c r="A18" s="5" t="s">
        <v>70</v>
      </c>
      <c r="B18" s="6">
        <f>VLOOKUP(A18,'Exported Results'!A$42:D$161,4,FALSE)</f>
        <v>31.228660583496094</v>
      </c>
      <c r="C18" s="6">
        <f t="shared" si="0"/>
        <v>31.228660583496094</v>
      </c>
      <c r="D18" s="3" t="str">
        <f>VLOOKUP(A18,'Exported Results'!A$42:D$161,2,FALSE)</f>
        <v>STD 160a</v>
      </c>
      <c r="E18" s="14">
        <f>AVERAGE(C18:C20)</f>
        <v>31.090070088704426</v>
      </c>
      <c r="F18">
        <f>_xlfn.STDEV.P(C18:C20)</f>
        <v>0.10216805276950401</v>
      </c>
    </row>
    <row r="19" spans="1:6" ht="14.25" x14ac:dyDescent="0.2">
      <c r="A19" s="5" t="s">
        <v>71</v>
      </c>
      <c r="B19" s="6">
        <f>VLOOKUP(A19,'Exported Results'!A$42:D$161,4,FALSE)</f>
        <v>30.985391616821289</v>
      </c>
      <c r="C19" s="6">
        <f t="shared" si="0"/>
        <v>30.985391616821289</v>
      </c>
      <c r="D19" s="3" t="str">
        <f>VLOOKUP(A19,'Exported Results'!A$42:D$161,2,FALSE)</f>
        <v>STD 160b</v>
      </c>
    </row>
    <row r="20" spans="1:6" ht="14.25" x14ac:dyDescent="0.2">
      <c r="A20" s="5" t="s">
        <v>72</v>
      </c>
      <c r="B20" s="6">
        <f>VLOOKUP(A20,'Exported Results'!A$42:D$161,4,FALSE)</f>
        <v>31.056158065795898</v>
      </c>
      <c r="C20" s="6">
        <f t="shared" si="0"/>
        <v>31.056158065795898</v>
      </c>
      <c r="D20" s="3" t="str">
        <f>VLOOKUP(A20,'Exported Results'!A$42:D$161,2,FALSE)</f>
        <v>STD 160c</v>
      </c>
    </row>
    <row r="21" spans="1:6" ht="14.25" x14ac:dyDescent="0.2">
      <c r="A21" s="5" t="s">
        <v>73</v>
      </c>
      <c r="B21" s="6">
        <f>VLOOKUP(A21,'Exported Results'!A$42:D$161,4,FALSE)</f>
        <v>32.135890960693359</v>
      </c>
      <c r="C21" s="6">
        <f t="shared" si="0"/>
        <v>32.135890960693359</v>
      </c>
      <c r="D21" s="3" t="str">
        <f>VLOOKUP(A21,'Exported Results'!A$42:D$161,2,FALSE)</f>
        <v>STD 320a</v>
      </c>
      <c r="E21" s="14">
        <f>AVERAGE(C21:C23)</f>
        <v>32.32537841796875</v>
      </c>
      <c r="F21">
        <f>_xlfn.STDEV.P(C21:C23)</f>
        <v>0.16444175025296623</v>
      </c>
    </row>
    <row r="22" spans="1:6" ht="14.25" x14ac:dyDescent="0.2">
      <c r="A22" s="5" t="s">
        <v>74</v>
      </c>
      <c r="B22" s="6">
        <f>VLOOKUP(A22,'Exported Results'!A$42:D$161,4,FALSE)</f>
        <v>32.303363800048828</v>
      </c>
      <c r="C22" s="6">
        <f t="shared" si="0"/>
        <v>32.303363800048828</v>
      </c>
      <c r="D22" s="3" t="str">
        <f>VLOOKUP(A22,'Exported Results'!A$42:D$161,2,FALSE)</f>
        <v>STD 320b</v>
      </c>
    </row>
    <row r="23" spans="1:6" ht="14.25" x14ac:dyDescent="0.2">
      <c r="A23" s="5" t="s">
        <v>75</v>
      </c>
      <c r="B23" s="6">
        <f>VLOOKUP(A23,'Exported Results'!A$42:D$161,4,FALSE)</f>
        <v>32.536880493164063</v>
      </c>
      <c r="C23" s="6">
        <f t="shared" si="0"/>
        <v>32.536880493164063</v>
      </c>
      <c r="D23" s="3" t="str">
        <f>VLOOKUP(A23,'Exported Results'!A$42:D$161,2,FALSE)</f>
        <v>STD 320c</v>
      </c>
    </row>
    <row r="24" spans="1:6" ht="14.25" x14ac:dyDescent="0.2">
      <c r="A24" s="5" t="s">
        <v>76</v>
      </c>
      <c r="B24" s="6">
        <f>VLOOKUP(A24,'Exported Results'!A$42:D$161,4,FALSE)</f>
        <v>29.511709213256836</v>
      </c>
      <c r="C24" s="6">
        <f t="shared" si="0"/>
        <v>29.511709213256836</v>
      </c>
      <c r="D24" s="3" t="str">
        <f>VLOOKUP(A24,'Exported Results'!A$42:D$161,2,FALSE)</f>
        <v>C1.a</v>
      </c>
      <c r="E24" s="14">
        <f>AVERAGE(C24:C26)</f>
        <v>29.254168828328449</v>
      </c>
      <c r="F24">
        <f>_xlfn.STDEV.P(C24:C26)</f>
        <v>0.18840318636029685</v>
      </c>
    </row>
    <row r="25" spans="1:6" ht="14.25" x14ac:dyDescent="0.2">
      <c r="A25" s="5" t="s">
        <v>77</v>
      </c>
      <c r="B25" s="6">
        <f>VLOOKUP(A25,'Exported Results'!A$42:D$161,4,FALSE)</f>
        <v>29.184545516967773</v>
      </c>
      <c r="C25" s="6">
        <f t="shared" si="0"/>
        <v>29.184545516967773</v>
      </c>
      <c r="D25" s="3" t="str">
        <f>VLOOKUP(A25,'Exported Results'!A$42:D$161,2,FALSE)</f>
        <v>C1.b</v>
      </c>
    </row>
    <row r="26" spans="1:6" ht="14.25" x14ac:dyDescent="0.2">
      <c r="A26" s="5" t="s">
        <v>78</v>
      </c>
      <c r="B26" s="6">
        <f>VLOOKUP(A26,'Exported Results'!A$42:D$161,4,FALSE)</f>
        <v>29.066251754760742</v>
      </c>
      <c r="C26" s="6">
        <f t="shared" si="0"/>
        <v>29.066251754760742</v>
      </c>
      <c r="D26" s="3" t="str">
        <f>VLOOKUP(A26,'Exported Results'!A$42:D$161,2,FALSE)</f>
        <v>C1.c</v>
      </c>
    </row>
    <row r="27" spans="1:6" ht="14.25" x14ac:dyDescent="0.2">
      <c r="A27" s="5" t="s">
        <v>79</v>
      </c>
      <c r="B27" s="6">
        <f>VLOOKUP(A27,'Exported Results'!A$42:D$161,4,FALSE)</f>
        <v>29.720542907714844</v>
      </c>
      <c r="C27" s="6">
        <f t="shared" si="0"/>
        <v>29.720542907714844</v>
      </c>
      <c r="D27" s="3" t="str">
        <f>VLOOKUP(A27,'Exported Results'!A$42:D$161,2,FALSE)</f>
        <v>C2.a</v>
      </c>
      <c r="E27" s="14">
        <f>AVERAGE(C27:C29)</f>
        <v>29.466438293457031</v>
      </c>
      <c r="F27">
        <f>_xlfn.STDEV.P(C27:C29)</f>
        <v>0.29122821612623145</v>
      </c>
    </row>
    <row r="28" spans="1:6" ht="14.25" x14ac:dyDescent="0.2">
      <c r="A28" s="5" t="s">
        <v>80</v>
      </c>
      <c r="B28" s="6">
        <f>VLOOKUP(A28,'Exported Results'!A$42:D$161,4,FALSE)</f>
        <v>29.620088577270508</v>
      </c>
      <c r="C28" s="6">
        <f t="shared" si="0"/>
        <v>29.620088577270508</v>
      </c>
      <c r="D28" s="3" t="str">
        <f>VLOOKUP(A28,'Exported Results'!A$42:D$161,2,FALSE)</f>
        <v>C2.b</v>
      </c>
    </row>
    <row r="29" spans="1:6" ht="14.25" x14ac:dyDescent="0.2">
      <c r="A29" s="5" t="s">
        <v>81</v>
      </c>
      <c r="B29" s="6">
        <f>VLOOKUP(A29,'Exported Results'!A$42:D$161,4,FALSE)</f>
        <v>29.058683395385742</v>
      </c>
      <c r="C29" s="6">
        <f t="shared" si="0"/>
        <v>29.058683395385742</v>
      </c>
      <c r="D29" s="3" t="str">
        <f>VLOOKUP(A29,'Exported Results'!A$42:D$161,2,FALSE)</f>
        <v>C2.c</v>
      </c>
    </row>
    <row r="30" spans="1:6" ht="14.25" x14ac:dyDescent="0.2">
      <c r="A30" s="5" t="s">
        <v>82</v>
      </c>
      <c r="B30" s="6">
        <f>VLOOKUP(A30,'Exported Results'!A$42:D$161,4,FALSE)</f>
        <v>29.0340576171875</v>
      </c>
      <c r="C30" s="6">
        <f t="shared" si="0"/>
        <v>29.0340576171875</v>
      </c>
      <c r="D30" s="3" t="str">
        <f>VLOOKUP(A30,'Exported Results'!A$42:D$161,2,FALSE)</f>
        <v>C3.a</v>
      </c>
      <c r="E30" s="14">
        <f>AVERAGE(C30:C32)</f>
        <v>29.179807027180988</v>
      </c>
      <c r="F30">
        <f>_xlfn.STDEV.P(C30:C32)</f>
        <v>0.11033024758679918</v>
      </c>
    </row>
    <row r="31" spans="1:6" ht="14.25" x14ac:dyDescent="0.2">
      <c r="A31" s="5" t="s">
        <v>83</v>
      </c>
      <c r="B31" s="6">
        <f>VLOOKUP(A31,'Exported Results'!A$42:D$161,4,FALSE)</f>
        <v>29.300920486450195</v>
      </c>
      <c r="C31" s="6">
        <f t="shared" si="0"/>
        <v>29.300920486450195</v>
      </c>
      <c r="D31" s="3" t="str">
        <f>VLOOKUP(A31,'Exported Results'!A$42:D$161,2,FALSE)</f>
        <v>C3.b</v>
      </c>
    </row>
    <row r="32" spans="1:6" ht="14.25" x14ac:dyDescent="0.2">
      <c r="A32" s="5" t="s">
        <v>84</v>
      </c>
      <c r="B32" s="6">
        <f>VLOOKUP(A32,'Exported Results'!A$42:D$161,4,FALSE)</f>
        <v>29.204442977905273</v>
      </c>
      <c r="C32" s="6">
        <f t="shared" si="0"/>
        <v>29.204442977905273</v>
      </c>
      <c r="D32" s="3" t="str">
        <f>VLOOKUP(A32,'Exported Results'!A$42:D$161,2,FALSE)</f>
        <v>C3.c</v>
      </c>
    </row>
    <row r="33" spans="1:6" ht="14.25" x14ac:dyDescent="0.2">
      <c r="A33" s="5" t="s">
        <v>85</v>
      </c>
      <c r="B33" s="6">
        <f>VLOOKUP(A33,'Exported Results'!A$42:D$161,4,FALSE)</f>
        <v>28.517684936523438</v>
      </c>
      <c r="C33" s="7"/>
      <c r="D33" s="3" t="str">
        <f>VLOOKUP(A33,'Exported Results'!A$42:D$161,2,FALSE)</f>
        <v>C4.a</v>
      </c>
      <c r="E33" s="14">
        <f>AVERAGE(C33:C35)</f>
        <v>29.146405220031738</v>
      </c>
      <c r="F33">
        <f>_xlfn.STDEV.P(C33:C35)</f>
        <v>0.12333011627197266</v>
      </c>
    </row>
    <row r="34" spans="1:6" ht="14.25" x14ac:dyDescent="0.2">
      <c r="A34" s="5" t="s">
        <v>86</v>
      </c>
      <c r="B34" s="6">
        <f>VLOOKUP(A34,'Exported Results'!A$42:D$161,4,FALSE)</f>
        <v>29.269735336303711</v>
      </c>
      <c r="C34" s="6">
        <f t="shared" si="0"/>
        <v>29.269735336303711</v>
      </c>
      <c r="D34" s="3" t="str">
        <f>VLOOKUP(A34,'Exported Results'!A$42:D$161,2,FALSE)</f>
        <v>C4.b</v>
      </c>
    </row>
    <row r="35" spans="1:6" ht="14.25" x14ac:dyDescent="0.2">
      <c r="A35" s="5" t="s">
        <v>87</v>
      </c>
      <c r="B35" s="6">
        <f>VLOOKUP(A35,'Exported Results'!A$42:D$161,4,FALSE)</f>
        <v>29.023075103759766</v>
      </c>
      <c r="C35" s="6">
        <f t="shared" si="0"/>
        <v>29.023075103759766</v>
      </c>
      <c r="D35" s="3" t="str">
        <f>VLOOKUP(A35,'Exported Results'!A$42:D$161,2,FALSE)</f>
        <v>C4.c</v>
      </c>
    </row>
    <row r="36" spans="1:6" ht="14.25" x14ac:dyDescent="0.2">
      <c r="A36" s="5" t="s">
        <v>88</v>
      </c>
      <c r="B36" s="6">
        <f>VLOOKUP(A36,'Exported Results'!A$42:D$161,4,FALSE)</f>
        <v>29.622657775878906</v>
      </c>
      <c r="C36" s="7"/>
      <c r="D36" s="3" t="str">
        <f>VLOOKUP(A36,'Exported Results'!A$42:D$161,2,FALSE)</f>
        <v>C5.a</v>
      </c>
      <c r="E36" s="14">
        <f>AVERAGE(C36:C38)</f>
        <v>28.974203109741211</v>
      </c>
      <c r="F36">
        <f>_xlfn.STDEV.P(C36:C38)</f>
        <v>0.13840293884277344</v>
      </c>
    </row>
    <row r="37" spans="1:6" ht="14.25" x14ac:dyDescent="0.2">
      <c r="A37" s="5" t="s">
        <v>89</v>
      </c>
      <c r="B37" s="6">
        <f>VLOOKUP(A37,'Exported Results'!A$42:D$161,4,FALSE)</f>
        <v>28.835800170898438</v>
      </c>
      <c r="C37" s="6">
        <f t="shared" si="0"/>
        <v>28.835800170898438</v>
      </c>
      <c r="D37" s="3" t="str">
        <f>VLOOKUP(A37,'Exported Results'!A$42:D$161,2,FALSE)</f>
        <v>C5.b</v>
      </c>
    </row>
    <row r="38" spans="1:6" ht="14.25" x14ac:dyDescent="0.2">
      <c r="A38" s="5" t="s">
        <v>90</v>
      </c>
      <c r="B38" s="6">
        <f>VLOOKUP(A38,'Exported Results'!A$42:D$161,4,FALSE)</f>
        <v>29.112606048583984</v>
      </c>
      <c r="C38" s="6">
        <f t="shared" si="0"/>
        <v>29.112606048583984</v>
      </c>
      <c r="D38" s="3" t="str">
        <f>VLOOKUP(A38,'Exported Results'!A$42:D$161,2,FALSE)</f>
        <v>C5.c</v>
      </c>
    </row>
    <row r="39" spans="1:6" ht="14.25" x14ac:dyDescent="0.2">
      <c r="A39" s="5" t="s">
        <v>91</v>
      </c>
      <c r="B39" s="6">
        <f>VLOOKUP(A39,'Exported Results'!A$42:D$161,4,FALSE)</f>
        <v>29.217046737670898</v>
      </c>
      <c r="C39" s="6">
        <f t="shared" si="0"/>
        <v>29.217046737670898</v>
      </c>
      <c r="D39" s="3" t="str">
        <f>VLOOKUP(A39,'Exported Results'!A$42:D$161,2,FALSE)</f>
        <v>C6.a</v>
      </c>
      <c r="E39" s="14">
        <f>AVERAGE(C39:C41)</f>
        <v>29.089811960856121</v>
      </c>
      <c r="F39">
        <f>_xlfn.STDEV.P(C39:C41)</f>
        <v>0.25912992801272111</v>
      </c>
    </row>
    <row r="40" spans="1:6" ht="14.25" x14ac:dyDescent="0.2">
      <c r="A40" s="5" t="s">
        <v>92</v>
      </c>
      <c r="B40" s="6">
        <f>VLOOKUP(A40,'Exported Results'!A$42:D$161,4,FALSE)</f>
        <v>29.323820114135742</v>
      </c>
      <c r="C40" s="6">
        <f t="shared" si="0"/>
        <v>29.323820114135742</v>
      </c>
      <c r="D40" s="3" t="str">
        <f>VLOOKUP(A40,'Exported Results'!A$42:D$161,2,FALSE)</f>
        <v>C6.b</v>
      </c>
    </row>
    <row r="41" spans="1:6" ht="14.25" x14ac:dyDescent="0.2">
      <c r="A41" s="5" t="s">
        <v>93</v>
      </c>
      <c r="B41" s="6">
        <f>VLOOKUP(A41,'Exported Results'!A$42:D$161,4,FALSE)</f>
        <v>28.728569030761719</v>
      </c>
      <c r="C41" s="6">
        <f t="shared" si="0"/>
        <v>28.728569030761719</v>
      </c>
      <c r="D41" s="3" t="str">
        <f>VLOOKUP(A41,'Exported Results'!A$42:D$161,2,FALSE)</f>
        <v>C6.c</v>
      </c>
    </row>
    <row r="42" spans="1:6" ht="14.25" x14ac:dyDescent="0.2">
      <c r="A42" s="5" t="s">
        <v>94</v>
      </c>
      <c r="B42" s="6">
        <f>VLOOKUP(A42,'Exported Results'!A$42:D$161,4,FALSE)</f>
        <v>30.098743438720703</v>
      </c>
      <c r="C42" s="7"/>
      <c r="D42" s="3" t="str">
        <f>VLOOKUP(A42,'Exported Results'!A$42:D$161,2,FALSE)</f>
        <v>C7.a</v>
      </c>
      <c r="E42" s="14">
        <f>AVERAGE(C42:C44)</f>
        <v>29.012097358703613</v>
      </c>
      <c r="F42">
        <f>_xlfn.STDEV.P(C42:C44)</f>
        <v>1.0855674743652344E-2</v>
      </c>
    </row>
    <row r="43" spans="1:6" ht="14.25" x14ac:dyDescent="0.2">
      <c r="A43" s="5" t="s">
        <v>95</v>
      </c>
      <c r="B43" s="6">
        <f>VLOOKUP(A43,'Exported Results'!A$42:D$161,4,FALSE)</f>
        <v>29.001241683959961</v>
      </c>
      <c r="C43" s="6">
        <f t="shared" si="0"/>
        <v>29.001241683959961</v>
      </c>
      <c r="D43" s="3" t="str">
        <f>VLOOKUP(A43,'Exported Results'!A$42:D$161,2,FALSE)</f>
        <v>C7.b</v>
      </c>
    </row>
    <row r="44" spans="1:6" ht="14.25" x14ac:dyDescent="0.2">
      <c r="A44" s="5" t="s">
        <v>96</v>
      </c>
      <c r="B44" s="6">
        <f>VLOOKUP(A44,'Exported Results'!A$42:D$161,4,FALSE)</f>
        <v>29.022953033447266</v>
      </c>
      <c r="C44" s="6">
        <f t="shared" si="0"/>
        <v>29.022953033447266</v>
      </c>
      <c r="D44" s="3" t="str">
        <f>VLOOKUP(A44,'Exported Results'!A$42:D$161,2,FALSE)</f>
        <v>C7.c</v>
      </c>
    </row>
    <row r="45" spans="1:6" ht="14.25" x14ac:dyDescent="0.2">
      <c r="A45" s="5" t="s">
        <v>97</v>
      </c>
      <c r="B45" s="6">
        <f>VLOOKUP(A45,'Exported Results'!A$42:D$161,4,FALSE)</f>
        <v>29.253360748291016</v>
      </c>
      <c r="C45" s="6">
        <f t="shared" si="0"/>
        <v>29.253360748291016</v>
      </c>
      <c r="D45" s="3" t="str">
        <f>VLOOKUP(A45,'Exported Results'!A$42:D$161,2,FALSE)</f>
        <v>C8.a</v>
      </c>
      <c r="E45" s="14">
        <f>AVERAGE(C45:C47)</f>
        <v>29.186537424723308</v>
      </c>
      <c r="F45">
        <f>_xlfn.STDEV.P(C45:C47)</f>
        <v>0.24086687727092743</v>
      </c>
    </row>
    <row r="46" spans="1:6" ht="14.25" x14ac:dyDescent="0.2">
      <c r="A46" s="5" t="s">
        <v>98</v>
      </c>
      <c r="B46" s="6">
        <f>VLOOKUP(A46,'Exported Results'!A$42:D$161,4,FALSE)</f>
        <v>29.442394256591797</v>
      </c>
      <c r="C46" s="6">
        <f t="shared" si="0"/>
        <v>29.442394256591797</v>
      </c>
      <c r="D46" s="3" t="str">
        <f>VLOOKUP(A46,'Exported Results'!A$42:D$161,2,FALSE)</f>
        <v>C8.b</v>
      </c>
    </row>
    <row r="47" spans="1:6" ht="14.25" x14ac:dyDescent="0.2">
      <c r="A47" s="5" t="s">
        <v>99</v>
      </c>
      <c r="B47" s="6">
        <f>VLOOKUP(A47,'Exported Results'!A$42:D$161,4,FALSE)</f>
        <v>28.863857269287109</v>
      </c>
      <c r="C47" s="6">
        <f t="shared" si="0"/>
        <v>28.863857269287109</v>
      </c>
      <c r="D47" s="3" t="str">
        <f>VLOOKUP(A47,'Exported Results'!A$42:D$161,2,FALSE)</f>
        <v>C8.c</v>
      </c>
    </row>
    <row r="48" spans="1:6" ht="14.25" x14ac:dyDescent="0.2">
      <c r="A48" s="5" t="s">
        <v>100</v>
      </c>
      <c r="B48" s="6">
        <f>VLOOKUP(A48,'Exported Results'!A$42:D$161,4,FALSE)</f>
        <v>29.029548645019531</v>
      </c>
      <c r="C48" s="6">
        <f t="shared" si="0"/>
        <v>29.029548645019531</v>
      </c>
      <c r="D48" s="3" t="str">
        <f>VLOOKUP(A48,'Exported Results'!A$42:D$161,2,FALSE)</f>
        <v>C9.a</v>
      </c>
      <c r="E48" s="14">
        <f>AVERAGE(C48:C50)</f>
        <v>28.883106867472332</v>
      </c>
      <c r="F48">
        <f>_xlfn.STDEV.P(C48:C50)</f>
        <v>0.14084366582668889</v>
      </c>
    </row>
    <row r="49" spans="1:6" ht="14.25" x14ac:dyDescent="0.2">
      <c r="A49" s="5" t="s">
        <v>101</v>
      </c>
      <c r="B49" s="6">
        <f>VLOOKUP(A49,'Exported Results'!A$42:D$161,4,FALSE)</f>
        <v>28.926811218261719</v>
      </c>
      <c r="C49" s="6">
        <f t="shared" si="0"/>
        <v>28.926811218261719</v>
      </c>
      <c r="D49" s="3" t="str">
        <f>VLOOKUP(A49,'Exported Results'!A$42:D$161,2,FALSE)</f>
        <v>C9.b</v>
      </c>
    </row>
    <row r="50" spans="1:6" ht="14.25" x14ac:dyDescent="0.2">
      <c r="A50" s="5" t="s">
        <v>102</v>
      </c>
      <c r="B50" s="6">
        <f>VLOOKUP(A50,'Exported Results'!A$42:D$161,4,FALSE)</f>
        <v>28.692960739135742</v>
      </c>
      <c r="C50" s="6">
        <f t="shared" si="0"/>
        <v>28.692960739135742</v>
      </c>
      <c r="D50" s="3" t="str">
        <f>VLOOKUP(A50,'Exported Results'!A$42:D$161,2,FALSE)</f>
        <v>C9.c</v>
      </c>
    </row>
    <row r="51" spans="1:6" ht="14.25" x14ac:dyDescent="0.2">
      <c r="A51" s="5" t="s">
        <v>103</v>
      </c>
      <c r="B51" s="6">
        <f>VLOOKUP(A51,'Exported Results'!A$42:D$161,4,FALSE)</f>
        <v>29.404697418212891</v>
      </c>
      <c r="C51" s="6">
        <f t="shared" si="0"/>
        <v>29.404697418212891</v>
      </c>
      <c r="D51" s="3" t="str">
        <f>VLOOKUP(A51,'Exported Results'!A$42:D$161,2,FALSE)</f>
        <v>O1.a</v>
      </c>
      <c r="E51" s="14">
        <f>AVERAGE(C51:C53)</f>
        <v>29.340360641479492</v>
      </c>
      <c r="F51">
        <f>_xlfn.STDEV.P(C51:C53)</f>
        <v>6.4336776733398438E-2</v>
      </c>
    </row>
    <row r="52" spans="1:6" ht="14.25" x14ac:dyDescent="0.2">
      <c r="A52" s="5" t="s">
        <v>104</v>
      </c>
      <c r="B52" s="6">
        <f>VLOOKUP(A52,'Exported Results'!A$42:D$161,4,FALSE)</f>
        <v>28.626039505004883</v>
      </c>
      <c r="C52" s="7"/>
      <c r="D52" s="3" t="str">
        <f>VLOOKUP(A52,'Exported Results'!A$42:D$161,2,FALSE)</f>
        <v>O1.b</v>
      </c>
    </row>
    <row r="53" spans="1:6" ht="14.25" x14ac:dyDescent="0.2">
      <c r="A53" s="5" t="s">
        <v>105</v>
      </c>
      <c r="B53" s="6">
        <f>VLOOKUP(A53,'Exported Results'!A$42:D$161,4,FALSE)</f>
        <v>29.276023864746094</v>
      </c>
      <c r="C53" s="6">
        <f t="shared" si="0"/>
        <v>29.276023864746094</v>
      </c>
      <c r="D53" s="3" t="str">
        <f>VLOOKUP(A53,'Exported Results'!A$42:D$161,2,FALSE)</f>
        <v>O1.c</v>
      </c>
    </row>
    <row r="54" spans="1:6" ht="14.25" x14ac:dyDescent="0.2">
      <c r="A54" s="5" t="s">
        <v>106</v>
      </c>
      <c r="B54" s="6">
        <f>VLOOKUP(A54,'Exported Results'!A$42:D$161,4,FALSE)</f>
        <v>28.859420776367188</v>
      </c>
      <c r="C54" s="6">
        <f t="shared" si="0"/>
        <v>28.859420776367188</v>
      </c>
      <c r="D54" s="3" t="str">
        <f>VLOOKUP(A54,'Exported Results'!A$42:D$161,2,FALSE)</f>
        <v>O2.a</v>
      </c>
      <c r="E54" s="14">
        <f>AVERAGE(C54:C56)</f>
        <v>29.01276969909668</v>
      </c>
      <c r="F54">
        <f>_xlfn.STDEV.P(C54:C56)</f>
        <v>0.15334892272949219</v>
      </c>
    </row>
    <row r="55" spans="1:6" ht="14.25" x14ac:dyDescent="0.2">
      <c r="A55" s="5" t="s">
        <v>107</v>
      </c>
      <c r="B55" s="6">
        <f>VLOOKUP(A55,'Exported Results'!A$42:D$161,4,FALSE)</f>
        <v>29.663690567016602</v>
      </c>
      <c r="C55" s="7"/>
      <c r="D55" s="3" t="str">
        <f>VLOOKUP(A55,'Exported Results'!A$42:D$161,2,FALSE)</f>
        <v>O2.b</v>
      </c>
    </row>
    <row r="56" spans="1:6" ht="14.25" x14ac:dyDescent="0.2">
      <c r="A56" s="5" t="s">
        <v>108</v>
      </c>
      <c r="B56" s="6">
        <f>VLOOKUP(A56,'Exported Results'!A$42:D$161,4,FALSE)</f>
        <v>29.166118621826172</v>
      </c>
      <c r="C56" s="6">
        <f t="shared" si="0"/>
        <v>29.166118621826172</v>
      </c>
      <c r="D56" s="3" t="str">
        <f>VLOOKUP(A56,'Exported Results'!A$42:D$161,2,FALSE)</f>
        <v>O2.c</v>
      </c>
    </row>
    <row r="57" spans="1:6" ht="14.25" x14ac:dyDescent="0.2">
      <c r="A57" s="5" t="s">
        <v>109</v>
      </c>
      <c r="B57" s="6">
        <f>VLOOKUP(A57,'Exported Results'!A$42:D$161,4,FALSE)</f>
        <v>29.792938232421875</v>
      </c>
      <c r="C57" s="6">
        <f t="shared" si="0"/>
        <v>29.792938232421875</v>
      </c>
      <c r="D57" s="3" t="str">
        <f>VLOOKUP(A57,'Exported Results'!A$42:D$161,2,FALSE)</f>
        <v>O3.a</v>
      </c>
      <c r="E57" s="14">
        <f>AVERAGE(C57:C59)</f>
        <v>29.349613825480144</v>
      </c>
      <c r="F57">
        <f>_xlfn.STDEV.P(C57:C59)</f>
        <v>0.35881205704587443</v>
      </c>
    </row>
    <row r="58" spans="1:6" ht="14.25" x14ac:dyDescent="0.2">
      <c r="A58" s="5" t="s">
        <v>110</v>
      </c>
      <c r="B58" s="6">
        <f>VLOOKUP(A58,'Exported Results'!A$42:D$161,4,FALSE)</f>
        <v>29.341766357421875</v>
      </c>
      <c r="C58" s="6">
        <f t="shared" si="0"/>
        <v>29.341766357421875</v>
      </c>
      <c r="D58" s="3" t="str">
        <f>VLOOKUP(A58,'Exported Results'!A$42:D$161,2,FALSE)</f>
        <v>O3.b</v>
      </c>
    </row>
    <row r="59" spans="1:6" ht="14.25" x14ac:dyDescent="0.2">
      <c r="A59" s="5" t="s">
        <v>111</v>
      </c>
      <c r="B59" s="6">
        <f>VLOOKUP(A59,'Exported Results'!A$42:D$161,4,FALSE)</f>
        <v>28.91413688659668</v>
      </c>
      <c r="C59" s="6">
        <f t="shared" si="0"/>
        <v>28.91413688659668</v>
      </c>
      <c r="D59" s="3" t="str">
        <f>VLOOKUP(A59,'Exported Results'!A$42:D$161,2,FALSE)</f>
        <v>O3.c</v>
      </c>
    </row>
    <row r="60" spans="1:6" ht="14.25" x14ac:dyDescent="0.2">
      <c r="A60" s="5" t="s">
        <v>112</v>
      </c>
      <c r="B60" s="6">
        <f>VLOOKUP(A60,'Exported Results'!A$42:D$161,4,FALSE)</f>
        <v>29.304327011108398</v>
      </c>
      <c r="C60" s="6">
        <f t="shared" si="0"/>
        <v>29.304327011108398</v>
      </c>
      <c r="D60" s="3" t="str">
        <f>VLOOKUP(A60,'Exported Results'!A$42:D$161,2,FALSE)</f>
        <v>O4.a</v>
      </c>
      <c r="E60" s="14">
        <f>AVERAGE(C60:C62)</f>
        <v>29.15470250447591</v>
      </c>
      <c r="F60">
        <f>_xlfn.STDEV.P(C60:C62)</f>
        <v>0.11293130459278235</v>
      </c>
    </row>
    <row r="61" spans="1:6" ht="14.25" x14ac:dyDescent="0.2">
      <c r="A61" s="5" t="s">
        <v>113</v>
      </c>
      <c r="B61" s="6">
        <f>VLOOKUP(A61,'Exported Results'!A$42:D$161,4,FALSE)</f>
        <v>29.031520843505859</v>
      </c>
      <c r="C61" s="6">
        <f t="shared" si="0"/>
        <v>29.031520843505859</v>
      </c>
      <c r="D61" s="3" t="str">
        <f>VLOOKUP(A61,'Exported Results'!A$42:D$161,2,FALSE)</f>
        <v>O4.b</v>
      </c>
    </row>
    <row r="62" spans="1:6" ht="14.25" x14ac:dyDescent="0.2">
      <c r="A62" s="5" t="s">
        <v>114</v>
      </c>
      <c r="B62" s="6">
        <f>VLOOKUP(A62,'Exported Results'!A$42:D$161,4,FALSE)</f>
        <v>29.128259658813477</v>
      </c>
      <c r="C62" s="6">
        <f t="shared" si="0"/>
        <v>29.128259658813477</v>
      </c>
      <c r="D62" s="3" t="str">
        <f>VLOOKUP(A62,'Exported Results'!A$42:D$161,2,FALSE)</f>
        <v>O4.c</v>
      </c>
    </row>
    <row r="63" spans="1:6" ht="14.25" x14ac:dyDescent="0.2">
      <c r="A63" s="5" t="s">
        <v>115</v>
      </c>
      <c r="B63" s="6">
        <f>VLOOKUP(A63,'Exported Results'!A$42:D$161,4,FALSE)</f>
        <v>29.154123306274414</v>
      </c>
      <c r="C63" s="6">
        <f t="shared" si="0"/>
        <v>29.154123306274414</v>
      </c>
      <c r="D63" s="3" t="str">
        <f>VLOOKUP(A63,'Exported Results'!A$42:D$161,2,FALSE)</f>
        <v>O5.a</v>
      </c>
      <c r="E63" s="14">
        <f>AVERAGE(C63:C65)</f>
        <v>29.164875666300457</v>
      </c>
      <c r="F63">
        <f>_xlfn.STDEV.P(C63:C65)</f>
        <v>3.3104795003087079E-2</v>
      </c>
    </row>
    <row r="64" spans="1:6" ht="14.25" x14ac:dyDescent="0.2">
      <c r="A64" s="5" t="s">
        <v>116</v>
      </c>
      <c r="B64" s="6">
        <f>VLOOKUP(A64,'Exported Results'!A$42:D$161,4,FALSE)</f>
        <v>29.130790710449219</v>
      </c>
      <c r="C64" s="6">
        <f t="shared" si="0"/>
        <v>29.130790710449219</v>
      </c>
      <c r="D64" s="3" t="str">
        <f>VLOOKUP(A64,'Exported Results'!A$42:D$161,2,FALSE)</f>
        <v>O5.b</v>
      </c>
    </row>
    <row r="65" spans="1:6" ht="14.25" x14ac:dyDescent="0.2">
      <c r="A65" s="5" t="s">
        <v>117</v>
      </c>
      <c r="B65" s="6">
        <f>VLOOKUP(A65,'Exported Results'!A$42:D$161,4,FALSE)</f>
        <v>29.209712982177734</v>
      </c>
      <c r="C65" s="6">
        <f t="shared" si="0"/>
        <v>29.209712982177734</v>
      </c>
      <c r="D65" s="3" t="str">
        <f>VLOOKUP(A65,'Exported Results'!A$42:D$161,2,FALSE)</f>
        <v>O5.c</v>
      </c>
    </row>
    <row r="66" spans="1:6" ht="14.25" x14ac:dyDescent="0.2">
      <c r="A66" s="5" t="s">
        <v>118</v>
      </c>
      <c r="B66" s="6">
        <f>VLOOKUP(A66,'Exported Results'!A$42:D$161,4,FALSE)</f>
        <v>29.380292892456055</v>
      </c>
      <c r="C66" s="6">
        <f t="shared" si="0"/>
        <v>29.380292892456055</v>
      </c>
      <c r="D66" s="3" t="str">
        <f>VLOOKUP(A66,'Exported Results'!A$42:D$161,2,FALSE)</f>
        <v>O6.a</v>
      </c>
      <c r="E66" s="14">
        <f>AVERAGE(C66:C68)</f>
        <v>29.072689056396484</v>
      </c>
      <c r="F66">
        <f>_xlfn.STDEV.P(C66:C68)</f>
        <v>0.21984073058718251</v>
      </c>
    </row>
    <row r="67" spans="1:6" ht="14.25" x14ac:dyDescent="0.2">
      <c r="A67" s="5" t="s">
        <v>119</v>
      </c>
      <c r="B67" s="6">
        <f>VLOOKUP(A67,'Exported Results'!A$42:D$161,4,FALSE)</f>
        <v>28.87977409362793</v>
      </c>
      <c r="C67" s="6">
        <f t="shared" ref="C67:C130" si="1">IF(B67="Undetermined",40.1,B67)</f>
        <v>28.87977409362793</v>
      </c>
      <c r="D67" s="3" t="str">
        <f>VLOOKUP(A67,'Exported Results'!A$42:D$161,2,FALSE)</f>
        <v>O6.b</v>
      </c>
    </row>
    <row r="68" spans="1:6" ht="14.25" x14ac:dyDescent="0.2">
      <c r="A68" s="5" t="s">
        <v>120</v>
      </c>
      <c r="B68" s="6">
        <f>VLOOKUP(A68,'Exported Results'!A$42:D$161,4,FALSE)</f>
        <v>28.958000183105469</v>
      </c>
      <c r="C68" s="6">
        <f t="shared" si="1"/>
        <v>28.958000183105469</v>
      </c>
      <c r="D68" s="3" t="str">
        <f>VLOOKUP(A68,'Exported Results'!A$42:D$161,2,FALSE)</f>
        <v>O6.c</v>
      </c>
    </row>
    <row r="69" spans="1:6" ht="14.25" x14ac:dyDescent="0.2">
      <c r="A69" s="5" t="s">
        <v>121</v>
      </c>
      <c r="B69" s="6">
        <f>VLOOKUP(A69,'Exported Results'!A$42:D$161,4,FALSE)</f>
        <v>30.012554168701172</v>
      </c>
      <c r="C69" s="7"/>
      <c r="D69" s="3" t="str">
        <f>VLOOKUP(A69,'Exported Results'!A$42:D$161,2,FALSE)</f>
        <v>O7.a</v>
      </c>
      <c r="E69" s="14">
        <f>AVERAGE(C69:C71)</f>
        <v>29.339862823486328</v>
      </c>
      <c r="F69">
        <f>_xlfn.STDEV.P(C69:C71)</f>
        <v>0.15849685668945313</v>
      </c>
    </row>
    <row r="70" spans="1:6" ht="14.25" x14ac:dyDescent="0.2">
      <c r="A70" s="5" t="s">
        <v>122</v>
      </c>
      <c r="B70" s="6">
        <f>VLOOKUP(A70,'Exported Results'!A$42:D$161,4,FALSE)</f>
        <v>29.181365966796875</v>
      </c>
      <c r="C70" s="6">
        <f t="shared" si="1"/>
        <v>29.181365966796875</v>
      </c>
      <c r="D70" s="3" t="str">
        <f>VLOOKUP(A70,'Exported Results'!A$42:D$161,2,FALSE)</f>
        <v>O7.b</v>
      </c>
    </row>
    <row r="71" spans="1:6" ht="14.25" x14ac:dyDescent="0.2">
      <c r="A71" s="5" t="s">
        <v>123</v>
      </c>
      <c r="B71" s="6">
        <f>VLOOKUP(A71,'Exported Results'!A$42:D$161,4,FALSE)</f>
        <v>29.498359680175781</v>
      </c>
      <c r="C71" s="6">
        <f t="shared" si="1"/>
        <v>29.498359680175781</v>
      </c>
      <c r="D71" s="3" t="str">
        <f>VLOOKUP(A71,'Exported Results'!A$42:D$161,2,FALSE)</f>
        <v>O7.c</v>
      </c>
    </row>
    <row r="72" spans="1:6" ht="14.25" x14ac:dyDescent="0.2">
      <c r="A72" s="5" t="s">
        <v>124</v>
      </c>
      <c r="B72" s="6">
        <f>VLOOKUP(A72,'Exported Results'!A$42:D$161,4,FALSE)</f>
        <v>28.591043472290039</v>
      </c>
      <c r="C72" s="6">
        <f t="shared" si="1"/>
        <v>28.591043472290039</v>
      </c>
      <c r="D72" s="3" t="str">
        <f>VLOOKUP(A72,'Exported Results'!A$42:D$161,2,FALSE)</f>
        <v>O8.a</v>
      </c>
      <c r="E72" s="14">
        <f>AVERAGE(C72:C74)</f>
        <v>28.878880182902019</v>
      </c>
      <c r="F72">
        <f>_xlfn.STDEV.P(C72:C74)</f>
        <v>0.27782002558827462</v>
      </c>
    </row>
    <row r="73" spans="1:6" ht="14.25" x14ac:dyDescent="0.2">
      <c r="A73" s="5" t="s">
        <v>125</v>
      </c>
      <c r="B73" s="6">
        <f>VLOOKUP(A73,'Exported Results'!A$42:D$161,4,FALSE)</f>
        <v>29.254398345947266</v>
      </c>
      <c r="C73" s="6">
        <f t="shared" si="1"/>
        <v>29.254398345947266</v>
      </c>
      <c r="D73" s="3" t="str">
        <f>VLOOKUP(A73,'Exported Results'!A$42:D$161,2,FALSE)</f>
        <v>O8.b</v>
      </c>
    </row>
    <row r="74" spans="1:6" ht="14.25" x14ac:dyDescent="0.2">
      <c r="A74" s="5" t="s">
        <v>126</v>
      </c>
      <c r="B74" s="6">
        <f>VLOOKUP(A74,'Exported Results'!A$42:D$161,4,FALSE)</f>
        <v>28.79119873046875</v>
      </c>
      <c r="C74" s="6">
        <f t="shared" si="1"/>
        <v>28.79119873046875</v>
      </c>
      <c r="D74" s="3" t="str">
        <f>VLOOKUP(A74,'Exported Results'!A$42:D$161,2,FALSE)</f>
        <v>O8.c</v>
      </c>
    </row>
    <row r="75" spans="1:6" ht="14.25" x14ac:dyDescent="0.2">
      <c r="A75" s="5" t="s">
        <v>127</v>
      </c>
      <c r="B75" s="6">
        <f>VLOOKUP(A75,'Exported Results'!A$42:D$161,4,FALSE)</f>
        <v>28.924102783203125</v>
      </c>
      <c r="C75" s="6">
        <f t="shared" si="1"/>
        <v>28.924102783203125</v>
      </c>
      <c r="D75" s="3" t="str">
        <f>VLOOKUP(A75,'Exported Results'!A$42:D$161,2,FALSE)</f>
        <v>O9.a</v>
      </c>
      <c r="E75" s="14">
        <f>AVERAGE(C75:C77)</f>
        <v>29.13171895345052</v>
      </c>
      <c r="F75">
        <f>_xlfn.STDEV.P(C75:C77)</f>
        <v>0.14866845059016129</v>
      </c>
    </row>
    <row r="76" spans="1:6" ht="14.25" x14ac:dyDescent="0.2">
      <c r="A76" s="5" t="s">
        <v>128</v>
      </c>
      <c r="B76" s="6">
        <f>VLOOKUP(A76,'Exported Results'!A$42:D$161,4,FALSE)</f>
        <v>29.206802368164063</v>
      </c>
      <c r="C76" s="6">
        <f t="shared" si="1"/>
        <v>29.206802368164063</v>
      </c>
      <c r="D76" s="3" t="str">
        <f>VLOOKUP(A76,'Exported Results'!A$42:D$161,2,FALSE)</f>
        <v>O9.b</v>
      </c>
    </row>
    <row r="77" spans="1:6" ht="14.25" x14ac:dyDescent="0.2">
      <c r="A77" s="5" t="s">
        <v>129</v>
      </c>
      <c r="B77" s="6">
        <f>VLOOKUP(A77,'Exported Results'!A$42:D$161,4,FALSE)</f>
        <v>29.264251708984375</v>
      </c>
      <c r="C77" s="6">
        <f t="shared" si="1"/>
        <v>29.264251708984375</v>
      </c>
      <c r="D77" s="3" t="str">
        <f>VLOOKUP(A77,'Exported Results'!A$42:D$161,2,FALSE)</f>
        <v>O9.c</v>
      </c>
    </row>
    <row r="78" spans="1:6" ht="14.25" x14ac:dyDescent="0.2">
      <c r="A78" s="5" t="s">
        <v>130</v>
      </c>
      <c r="B78" s="6">
        <f>VLOOKUP(A78,'Exported Results'!A$42:D$161,4,FALSE)</f>
        <v>29.410181045532227</v>
      </c>
      <c r="C78" s="7"/>
      <c r="D78" s="3" t="str">
        <f>VLOOKUP(A78,'Exported Results'!A$42:D$161,2,FALSE)</f>
        <v>P1.a</v>
      </c>
      <c r="E78" s="14">
        <f>AVERAGE(C78:C80)</f>
        <v>28.735844612121582</v>
      </c>
      <c r="F78">
        <f>_xlfn.STDEV.P(C78:C80)</f>
        <v>4.0415763854980469E-2</v>
      </c>
    </row>
    <row r="79" spans="1:6" ht="14.25" x14ac:dyDescent="0.2">
      <c r="A79" s="5" t="s">
        <v>131</v>
      </c>
      <c r="B79" s="6">
        <f>VLOOKUP(A79,'Exported Results'!A$42:D$161,4,FALSE)</f>
        <v>28.776260375976563</v>
      </c>
      <c r="C79" s="6">
        <f t="shared" si="1"/>
        <v>28.776260375976563</v>
      </c>
      <c r="D79" s="3" t="str">
        <f>VLOOKUP(A79,'Exported Results'!A$42:D$161,2,FALSE)</f>
        <v>P1.b</v>
      </c>
    </row>
    <row r="80" spans="1:6" ht="14.25" x14ac:dyDescent="0.2">
      <c r="A80" s="5" t="s">
        <v>132</v>
      </c>
      <c r="B80" s="6">
        <f>VLOOKUP(A80,'Exported Results'!A$42:D$161,4,FALSE)</f>
        <v>28.695428848266602</v>
      </c>
      <c r="C80" s="6">
        <f t="shared" si="1"/>
        <v>28.695428848266602</v>
      </c>
      <c r="D80" s="3" t="str">
        <f>VLOOKUP(A80,'Exported Results'!A$42:D$161,2,FALSE)</f>
        <v>P1.c</v>
      </c>
    </row>
    <row r="81" spans="1:6" ht="14.25" x14ac:dyDescent="0.2">
      <c r="A81" s="5" t="s">
        <v>133</v>
      </c>
      <c r="B81" s="6">
        <f>VLOOKUP(A81,'Exported Results'!A$42:D$161,4,FALSE)</f>
        <v>29.477766036987305</v>
      </c>
      <c r="C81" s="6">
        <f t="shared" si="1"/>
        <v>29.477766036987305</v>
      </c>
      <c r="D81" s="3" t="str">
        <f>VLOOKUP(A81,'Exported Results'!A$42:D$161,2,FALSE)</f>
        <v>P2.a</v>
      </c>
      <c r="E81" s="14">
        <f>AVERAGE(C81:C83)</f>
        <v>29.429332097371418</v>
      </c>
      <c r="F81">
        <f>_xlfn.STDEV.P(C81:C83)</f>
        <v>4.2391849181678404E-2</v>
      </c>
    </row>
    <row r="82" spans="1:6" ht="14.25" x14ac:dyDescent="0.2">
      <c r="A82" s="5" t="s">
        <v>134</v>
      </c>
      <c r="B82" s="6">
        <f>VLOOKUP(A82,'Exported Results'!A$42:D$161,4,FALSE)</f>
        <v>29.374517440795898</v>
      </c>
      <c r="C82" s="6">
        <f t="shared" si="1"/>
        <v>29.374517440795898</v>
      </c>
      <c r="D82" s="3" t="str">
        <f>VLOOKUP(A82,'Exported Results'!A$42:D$161,2,FALSE)</f>
        <v>P2.b</v>
      </c>
    </row>
    <row r="83" spans="1:6" ht="14.25" x14ac:dyDescent="0.2">
      <c r="A83" s="5" t="s">
        <v>135</v>
      </c>
      <c r="B83" s="6">
        <f>VLOOKUP(A83,'Exported Results'!A$42:D$161,4,FALSE)</f>
        <v>29.435712814331055</v>
      </c>
      <c r="C83" s="6">
        <f t="shared" si="1"/>
        <v>29.435712814331055</v>
      </c>
      <c r="D83" s="3" t="str">
        <f>VLOOKUP(A83,'Exported Results'!A$42:D$161,2,FALSE)</f>
        <v>P2.c</v>
      </c>
    </row>
    <row r="84" spans="1:6" ht="14.25" x14ac:dyDescent="0.2">
      <c r="A84" s="5" t="s">
        <v>136</v>
      </c>
      <c r="B84" s="6">
        <f>VLOOKUP(A84,'Exported Results'!A$42:D$161,4,FALSE)</f>
        <v>29.505382537841797</v>
      </c>
      <c r="C84" s="6">
        <f t="shared" si="1"/>
        <v>29.505382537841797</v>
      </c>
      <c r="D84" s="3" t="str">
        <f>VLOOKUP(A84,'Exported Results'!A$42:D$161,2,FALSE)</f>
        <v>P3.a</v>
      </c>
      <c r="E84" s="14">
        <f>AVERAGE(C84:C86)</f>
        <v>29.39848518371582</v>
      </c>
      <c r="F84">
        <f>_xlfn.STDEV.P(C84:C86)</f>
        <v>7.5594632309410895E-2</v>
      </c>
    </row>
    <row r="85" spans="1:6" ht="14.25" x14ac:dyDescent="0.2">
      <c r="A85" s="5" t="s">
        <v>137</v>
      </c>
      <c r="B85" s="6">
        <f>VLOOKUP(A85,'Exported Results'!A$42:D$161,4,FALSE)</f>
        <v>29.343795776367188</v>
      </c>
      <c r="C85" s="6">
        <f t="shared" si="1"/>
        <v>29.343795776367188</v>
      </c>
      <c r="D85" s="3" t="str">
        <f>VLOOKUP(A85,'Exported Results'!A$42:D$161,2,FALSE)</f>
        <v>P3.b</v>
      </c>
    </row>
    <row r="86" spans="1:6" ht="14.25" x14ac:dyDescent="0.2">
      <c r="A86" s="5" t="s">
        <v>138</v>
      </c>
      <c r="B86" s="6">
        <f>VLOOKUP(A86,'Exported Results'!A$42:D$161,4,FALSE)</f>
        <v>29.346277236938477</v>
      </c>
      <c r="C86" s="6">
        <f t="shared" si="1"/>
        <v>29.346277236938477</v>
      </c>
      <c r="D86" s="3" t="str">
        <f>VLOOKUP(A86,'Exported Results'!A$42:D$161,2,FALSE)</f>
        <v>P3.c</v>
      </c>
    </row>
    <row r="87" spans="1:6" ht="14.25" x14ac:dyDescent="0.2">
      <c r="A87" s="5" t="s">
        <v>139</v>
      </c>
      <c r="B87" s="6">
        <f>VLOOKUP(A87,'Exported Results'!A$42:D$161,4,FALSE)</f>
        <v>29.624553680419922</v>
      </c>
      <c r="C87" s="7"/>
      <c r="D87" s="3" t="str">
        <f>VLOOKUP(A87,'Exported Results'!A$42:D$161,2,FALSE)</f>
        <v>P4.a</v>
      </c>
      <c r="E87" s="14">
        <f>AVERAGE(C87:C89)</f>
        <v>28.920724868774414</v>
      </c>
      <c r="F87">
        <f>_xlfn.STDEV.P(C87:C89)</f>
        <v>1.8032073974609375E-2</v>
      </c>
    </row>
    <row r="88" spans="1:6" ht="14.25" x14ac:dyDescent="0.2">
      <c r="A88" s="5" t="s">
        <v>140</v>
      </c>
      <c r="B88" s="6">
        <f>VLOOKUP(A88,'Exported Results'!A$42:D$161,4,FALSE)</f>
        <v>28.938756942749023</v>
      </c>
      <c r="C88" s="6">
        <f t="shared" si="1"/>
        <v>28.938756942749023</v>
      </c>
      <c r="D88" s="3" t="str">
        <f>VLOOKUP(A88,'Exported Results'!A$42:D$161,2,FALSE)</f>
        <v>P4.b</v>
      </c>
    </row>
    <row r="89" spans="1:6" ht="14.25" x14ac:dyDescent="0.2">
      <c r="A89" s="5" t="s">
        <v>141</v>
      </c>
      <c r="B89" s="6">
        <f>VLOOKUP(A89,'Exported Results'!A$42:D$161,4,FALSE)</f>
        <v>28.902692794799805</v>
      </c>
      <c r="C89" s="6">
        <f t="shared" si="1"/>
        <v>28.902692794799805</v>
      </c>
      <c r="D89" s="3" t="str">
        <f>VLOOKUP(A89,'Exported Results'!A$42:D$161,2,FALSE)</f>
        <v>P4.c</v>
      </c>
    </row>
    <row r="90" spans="1:6" ht="14.25" x14ac:dyDescent="0.2">
      <c r="A90" s="5" t="s">
        <v>142</v>
      </c>
      <c r="B90" s="6">
        <f>VLOOKUP(A90,'Exported Results'!A$42:D$161,4,FALSE)</f>
        <v>29.722335815429688</v>
      </c>
      <c r="C90" s="7"/>
      <c r="D90" s="3" t="str">
        <f>VLOOKUP(A90,'Exported Results'!A$42:D$161,2,FALSE)</f>
        <v>P5.a</v>
      </c>
      <c r="E90" s="14">
        <f>AVERAGE(C90:C92)</f>
        <v>29.023063659667969</v>
      </c>
      <c r="F90">
        <f>_xlfn.STDEV.P(C90:C92)</f>
        <v>9.71221923828125E-3</v>
      </c>
    </row>
    <row r="91" spans="1:6" ht="14.25" x14ac:dyDescent="0.2">
      <c r="A91" s="5" t="s">
        <v>143</v>
      </c>
      <c r="B91" s="6">
        <f>VLOOKUP(A91,'Exported Results'!A$42:D$161,4,FALSE)</f>
        <v>29.03277587890625</v>
      </c>
      <c r="C91" s="6">
        <f t="shared" si="1"/>
        <v>29.03277587890625</v>
      </c>
      <c r="D91" s="3" t="str">
        <f>VLOOKUP(A91,'Exported Results'!A$42:D$161,2,FALSE)</f>
        <v>P5.b</v>
      </c>
    </row>
    <row r="92" spans="1:6" ht="14.25" x14ac:dyDescent="0.2">
      <c r="A92" s="5" t="s">
        <v>144</v>
      </c>
      <c r="B92" s="6">
        <f>VLOOKUP(A92,'Exported Results'!A$42:D$161,4,FALSE)</f>
        <v>29.013351440429688</v>
      </c>
      <c r="C92" s="6">
        <f t="shared" si="1"/>
        <v>29.013351440429688</v>
      </c>
      <c r="D92" s="3" t="str">
        <f>VLOOKUP(A92,'Exported Results'!A$42:D$161,2,FALSE)</f>
        <v>P5.c</v>
      </c>
    </row>
    <row r="93" spans="1:6" ht="14.25" x14ac:dyDescent="0.2">
      <c r="A93" s="5" t="s">
        <v>145</v>
      </c>
      <c r="B93" s="6">
        <f>VLOOKUP(A93,'Exported Results'!A$42:D$161,4,FALSE)</f>
        <v>30.410810470581055</v>
      </c>
      <c r="C93" s="7"/>
      <c r="D93" s="3" t="str">
        <f>VLOOKUP(A93,'Exported Results'!A$42:D$161,2,FALSE)</f>
        <v>P6.a</v>
      </c>
      <c r="E93" s="14">
        <f>AVERAGE(C93:C95)</f>
        <v>29.270014762878418</v>
      </c>
      <c r="F93">
        <f>_xlfn.STDEV.P(C93:C95)</f>
        <v>8.0536842346191406E-2</v>
      </c>
    </row>
    <row r="94" spans="1:6" ht="14.25" x14ac:dyDescent="0.2">
      <c r="A94" s="5" t="s">
        <v>146</v>
      </c>
      <c r="B94" s="6">
        <f>VLOOKUP(A94,'Exported Results'!A$42:D$161,4,FALSE)</f>
        <v>29.189477920532227</v>
      </c>
      <c r="C94" s="6">
        <f t="shared" si="1"/>
        <v>29.189477920532227</v>
      </c>
      <c r="D94" s="3" t="str">
        <f>VLOOKUP(A94,'Exported Results'!A$42:D$161,2,FALSE)</f>
        <v>P6.b</v>
      </c>
    </row>
    <row r="95" spans="1:6" ht="14.25" x14ac:dyDescent="0.2">
      <c r="A95" s="5" t="s">
        <v>147</v>
      </c>
      <c r="B95" s="6">
        <f>VLOOKUP(A95,'Exported Results'!A$42:D$161,4,FALSE)</f>
        <v>29.350551605224609</v>
      </c>
      <c r="C95" s="6">
        <f t="shared" si="1"/>
        <v>29.350551605224609</v>
      </c>
      <c r="D95" s="3" t="str">
        <f>VLOOKUP(A95,'Exported Results'!A$42:D$161,2,FALSE)</f>
        <v>P6.c</v>
      </c>
    </row>
    <row r="96" spans="1:6" ht="14.25" x14ac:dyDescent="0.2">
      <c r="A96" s="5" t="s">
        <v>148</v>
      </c>
      <c r="B96" s="6">
        <f>VLOOKUP(A96,'Exported Results'!A$42:D$161,4,FALSE)</f>
        <v>29.095865249633789</v>
      </c>
      <c r="C96" s="6">
        <f t="shared" si="1"/>
        <v>29.095865249633789</v>
      </c>
      <c r="D96" s="3" t="str">
        <f>VLOOKUP(A96,'Exported Results'!A$42:D$161,2,FALSE)</f>
        <v>P7.a</v>
      </c>
      <c r="E96" s="14">
        <f>AVERAGE(C96:C98)</f>
        <v>29.116472880045574</v>
      </c>
      <c r="F96">
        <f>_xlfn.STDEV.P(C96:C98)</f>
        <v>7.7291743770288621E-2</v>
      </c>
    </row>
    <row r="97" spans="1:6" ht="14.25" x14ac:dyDescent="0.2">
      <c r="A97" s="5" t="s">
        <v>149</v>
      </c>
      <c r="B97" s="6">
        <f>VLOOKUP(A97,'Exported Results'!A$42:D$161,4,FALSE)</f>
        <v>29.219741821289063</v>
      </c>
      <c r="C97" s="6">
        <f t="shared" si="1"/>
        <v>29.219741821289063</v>
      </c>
      <c r="D97" s="3" t="str">
        <f>VLOOKUP(A97,'Exported Results'!A$42:D$161,2,FALSE)</f>
        <v>P7.b</v>
      </c>
    </row>
    <row r="98" spans="1:6" ht="14.25" x14ac:dyDescent="0.2">
      <c r="A98" s="5" t="s">
        <v>150</v>
      </c>
      <c r="B98" s="6">
        <f>VLOOKUP(A98,'Exported Results'!A$42:D$161,4,FALSE)</f>
        <v>29.033811569213867</v>
      </c>
      <c r="C98" s="6">
        <f t="shared" si="1"/>
        <v>29.033811569213867</v>
      </c>
      <c r="D98" s="3" t="str">
        <f>VLOOKUP(A98,'Exported Results'!A$42:D$161,2,FALSE)</f>
        <v>P7.c</v>
      </c>
    </row>
    <row r="99" spans="1:6" ht="14.25" x14ac:dyDescent="0.2">
      <c r="A99" s="5" t="s">
        <v>151</v>
      </c>
      <c r="B99" s="6">
        <f>VLOOKUP(A99,'Exported Results'!A$42:D$161,4,FALSE)</f>
        <v>29.438722610473633</v>
      </c>
      <c r="C99" s="7"/>
      <c r="D99" s="3" t="str">
        <f>VLOOKUP(A99,'Exported Results'!A$42:D$161,2,FALSE)</f>
        <v>P8.a</v>
      </c>
      <c r="E99" s="14">
        <f>AVERAGE(C99:C101)</f>
        <v>28.763442993164063</v>
      </c>
      <c r="F99">
        <f>_xlfn.STDEV.P(C99:C101)</f>
        <v>2.31170654296875E-2</v>
      </c>
    </row>
    <row r="100" spans="1:6" ht="14.25" x14ac:dyDescent="0.2">
      <c r="A100" s="5" t="s">
        <v>152</v>
      </c>
      <c r="B100" s="6">
        <f>VLOOKUP(A100,'Exported Results'!A$42:D$161,4,FALSE)</f>
        <v>28.78656005859375</v>
      </c>
      <c r="C100" s="6">
        <f t="shared" si="1"/>
        <v>28.78656005859375</v>
      </c>
      <c r="D100" s="3" t="str">
        <f>VLOOKUP(A100,'Exported Results'!A$42:D$161,2,FALSE)</f>
        <v>P8.b</v>
      </c>
    </row>
    <row r="101" spans="1:6" ht="14.25" x14ac:dyDescent="0.2">
      <c r="A101" s="5" t="s">
        <v>153</v>
      </c>
      <c r="B101" s="6">
        <f>VLOOKUP(A101,'Exported Results'!A$42:D$161,4,FALSE)</f>
        <v>28.740325927734375</v>
      </c>
      <c r="C101" s="6">
        <f t="shared" si="1"/>
        <v>28.740325927734375</v>
      </c>
      <c r="D101" s="3" t="str">
        <f>VLOOKUP(A101,'Exported Results'!A$42:D$161,2,FALSE)</f>
        <v>P8.c</v>
      </c>
    </row>
    <row r="102" spans="1:6" ht="14.25" x14ac:dyDescent="0.2">
      <c r="A102" s="5" t="s">
        <v>154</v>
      </c>
      <c r="B102" s="6">
        <f>VLOOKUP(A102,'Exported Results'!A$42:D$161,4,FALSE)</f>
        <v>29.956012725830078</v>
      </c>
      <c r="C102" s="6">
        <f t="shared" si="1"/>
        <v>29.956012725830078</v>
      </c>
      <c r="D102" s="3" t="str">
        <f>VLOOKUP(A102,'Exported Results'!A$42:D$161,2,FALSE)</f>
        <v>P9.a</v>
      </c>
      <c r="E102" s="14">
        <f>AVERAGE(C102:C104)</f>
        <v>29.953248023986816</v>
      </c>
      <c r="F102">
        <f>_xlfn.STDEV.P(C102:C104)</f>
        <v>2.7647018432617188E-3</v>
      </c>
    </row>
    <row r="103" spans="1:6" ht="14.25" x14ac:dyDescent="0.2">
      <c r="A103" s="5" t="s">
        <v>155</v>
      </c>
      <c r="B103" s="6">
        <f>VLOOKUP(A103,'Exported Results'!A$42:D$161,4,FALSE)</f>
        <v>29.950483322143555</v>
      </c>
      <c r="C103" s="6">
        <f t="shared" si="1"/>
        <v>29.950483322143555</v>
      </c>
      <c r="D103" s="3" t="str">
        <f>VLOOKUP(A103,'Exported Results'!A$42:D$161,2,FALSE)</f>
        <v>P9.b</v>
      </c>
    </row>
    <row r="104" spans="1:6" ht="14.25" x14ac:dyDescent="0.2">
      <c r="A104" s="5" t="s">
        <v>156</v>
      </c>
      <c r="B104" s="6">
        <f>VLOOKUP(A104,'Exported Results'!A$42:D$161,4,FALSE)</f>
        <v>28.949634552001953</v>
      </c>
      <c r="C104" s="7"/>
      <c r="D104" s="3" t="str">
        <f>VLOOKUP(A104,'Exported Results'!A$42:D$161,2,FALSE)</f>
        <v>P9.c</v>
      </c>
    </row>
    <row r="105" spans="1:6" ht="14.25" x14ac:dyDescent="0.2">
      <c r="A105" s="5" t="s">
        <v>157</v>
      </c>
      <c r="B105" s="6" t="str">
        <f>VLOOKUP(A105,'Exported Results'!A$42:D$161,4,FALSE)</f>
        <v>Undetermined</v>
      </c>
      <c r="C105" s="6">
        <f t="shared" si="1"/>
        <v>40.1</v>
      </c>
      <c r="D105" s="3" t="str">
        <f>VLOOKUP(A105,'Exported Results'!A$42:D$161,2,FALSE)</f>
        <v/>
      </c>
      <c r="E105" s="14">
        <f>AVERAGE(C105:C107)</f>
        <v>40.1</v>
      </c>
      <c r="F105">
        <f>_xlfn.STDEV.P(C105:C107)</f>
        <v>0</v>
      </c>
    </row>
    <row r="106" spans="1:6" ht="14.25" x14ac:dyDescent="0.2">
      <c r="A106" s="5" t="s">
        <v>158</v>
      </c>
      <c r="B106" s="6" t="str">
        <f>VLOOKUP(A106,'Exported Results'!A$42:D$161,4,FALSE)</f>
        <v>Undetermined</v>
      </c>
      <c r="C106" s="6">
        <f t="shared" si="1"/>
        <v>40.1</v>
      </c>
      <c r="D106" s="3" t="str">
        <f>VLOOKUP(A106,'Exported Results'!A$42:D$161,2,FALSE)</f>
        <v/>
      </c>
    </row>
    <row r="107" spans="1:6" ht="14.25" x14ac:dyDescent="0.2">
      <c r="A107" s="5" t="s">
        <v>159</v>
      </c>
      <c r="B107" s="6" t="str">
        <f>VLOOKUP(A107,'Exported Results'!A$42:D$161,4,FALSE)</f>
        <v>Undetermined</v>
      </c>
      <c r="C107" s="6">
        <f t="shared" si="1"/>
        <v>40.1</v>
      </c>
      <c r="D107" s="3" t="str">
        <f>VLOOKUP(A107,'Exported Results'!A$42:D$161,2,FALSE)</f>
        <v/>
      </c>
    </row>
    <row r="108" spans="1:6" ht="14.25" x14ac:dyDescent="0.2">
      <c r="A108" s="5" t="s">
        <v>160</v>
      </c>
      <c r="B108" s="6" t="str">
        <f>VLOOKUP(A108,'Exported Results'!A$42:D$161,4,FALSE)</f>
        <v>Undetermined</v>
      </c>
      <c r="C108" s="6">
        <f t="shared" si="1"/>
        <v>40.1</v>
      </c>
      <c r="D108" s="3" t="str">
        <f>VLOOKUP(A108,'Exported Results'!A$42:D$161,2,FALSE)</f>
        <v/>
      </c>
      <c r="E108" s="14">
        <f>AVERAGE(C108:C110)</f>
        <v>40.1</v>
      </c>
      <c r="F108">
        <f>_xlfn.STDEV.P(C108:C110)</f>
        <v>0</v>
      </c>
    </row>
    <row r="109" spans="1:6" ht="14.25" x14ac:dyDescent="0.2">
      <c r="A109" s="5" t="s">
        <v>161</v>
      </c>
      <c r="B109" s="6" t="str">
        <f>VLOOKUP(A109,'Exported Results'!A$42:D$161,4,FALSE)</f>
        <v>Undetermined</v>
      </c>
      <c r="C109" s="6">
        <f t="shared" si="1"/>
        <v>40.1</v>
      </c>
      <c r="D109" s="3" t="str">
        <f>VLOOKUP(A109,'Exported Results'!A$42:D$161,2,FALSE)</f>
        <v/>
      </c>
    </row>
    <row r="110" spans="1:6" ht="14.25" x14ac:dyDescent="0.2">
      <c r="A110" s="5" t="s">
        <v>162</v>
      </c>
      <c r="B110" s="6" t="str">
        <f>VLOOKUP(A110,'Exported Results'!A$42:D$161,4,FALSE)</f>
        <v>Undetermined</v>
      </c>
      <c r="C110" s="6">
        <f t="shared" si="1"/>
        <v>40.1</v>
      </c>
      <c r="D110" s="3" t="str">
        <f>VLOOKUP(A110,'Exported Results'!A$42:D$161,2,FALSE)</f>
        <v/>
      </c>
    </row>
    <row r="111" spans="1:6" ht="14.25" x14ac:dyDescent="0.2">
      <c r="A111" s="5" t="s">
        <v>163</v>
      </c>
      <c r="B111" s="6" t="str">
        <f>VLOOKUP(A111,'Exported Results'!A$42:D$161,4,FALSE)</f>
        <v>Undetermined</v>
      </c>
      <c r="C111" s="6">
        <f t="shared" si="1"/>
        <v>40.1</v>
      </c>
      <c r="D111" s="3" t="str">
        <f>VLOOKUP(A111,'Exported Results'!A$42:D$161,2,FALSE)</f>
        <v/>
      </c>
      <c r="E111" s="14">
        <f>AVERAGE(C111:C113)</f>
        <v>40.1</v>
      </c>
      <c r="F111">
        <f>_xlfn.STDEV.P(C111:C113)</f>
        <v>0</v>
      </c>
    </row>
    <row r="112" spans="1:6" ht="14.25" x14ac:dyDescent="0.2">
      <c r="A112" s="5" t="s">
        <v>164</v>
      </c>
      <c r="B112" s="6" t="str">
        <f>VLOOKUP(A112,'Exported Results'!A$42:D$161,4,FALSE)</f>
        <v>Undetermined</v>
      </c>
      <c r="C112" s="6">
        <f t="shared" si="1"/>
        <v>40.1</v>
      </c>
      <c r="D112" s="3" t="str">
        <f>VLOOKUP(A112,'Exported Results'!A$42:D$161,2,FALSE)</f>
        <v/>
      </c>
    </row>
    <row r="113" spans="1:6" ht="14.25" x14ac:dyDescent="0.2">
      <c r="A113" s="5" t="s">
        <v>165</v>
      </c>
      <c r="B113" s="6" t="str">
        <f>VLOOKUP(A113,'Exported Results'!A$42:D$161,4,FALSE)</f>
        <v>Undetermined</v>
      </c>
      <c r="C113" s="6">
        <f t="shared" si="1"/>
        <v>40.1</v>
      </c>
      <c r="D113" s="3" t="str">
        <f>VLOOKUP(A113,'Exported Results'!A$42:D$161,2,FALSE)</f>
        <v/>
      </c>
    </row>
    <row r="114" spans="1:6" ht="14.25" x14ac:dyDescent="0.2">
      <c r="A114" s="5" t="s">
        <v>166</v>
      </c>
      <c r="B114" s="6" t="str">
        <f>VLOOKUP(A114,'Exported Results'!A$42:D$161,4,FALSE)</f>
        <v>Undetermined</v>
      </c>
      <c r="C114" s="6">
        <f t="shared" si="1"/>
        <v>40.1</v>
      </c>
      <c r="D114" s="3" t="str">
        <f>VLOOKUP(A114,'Exported Results'!A$42:D$161,2,FALSE)</f>
        <v/>
      </c>
      <c r="E114" s="14">
        <f>AVERAGE(C114:C116)</f>
        <v>40.1</v>
      </c>
      <c r="F114">
        <f>_xlfn.STDEV.P(C114:C116)</f>
        <v>0</v>
      </c>
    </row>
    <row r="115" spans="1:6" ht="14.25" x14ac:dyDescent="0.2">
      <c r="A115" s="5" t="s">
        <v>167</v>
      </c>
      <c r="B115" s="6" t="str">
        <f>VLOOKUP(A115,'Exported Results'!A$42:D$161,4,FALSE)</f>
        <v>Undetermined</v>
      </c>
      <c r="C115" s="6">
        <f t="shared" si="1"/>
        <v>40.1</v>
      </c>
      <c r="D115" s="3" t="str">
        <f>VLOOKUP(A115,'Exported Results'!A$42:D$161,2,FALSE)</f>
        <v/>
      </c>
    </row>
    <row r="116" spans="1:6" ht="14.25" x14ac:dyDescent="0.2">
      <c r="A116" s="5" t="s">
        <v>168</v>
      </c>
      <c r="B116" s="6" t="str">
        <f>VLOOKUP(A116,'Exported Results'!A$42:D$161,4,FALSE)</f>
        <v>Undetermined</v>
      </c>
      <c r="C116" s="6">
        <f t="shared" si="1"/>
        <v>40.1</v>
      </c>
      <c r="D116" s="3" t="str">
        <f>VLOOKUP(A116,'Exported Results'!A$42:D$161,2,FALSE)</f>
        <v/>
      </c>
    </row>
    <row r="117" spans="1:6" ht="14.25" x14ac:dyDescent="0.2">
      <c r="A117" s="5" t="s">
        <v>169</v>
      </c>
      <c r="B117" s="6" t="str">
        <f>VLOOKUP(A117,'Exported Results'!A$42:D$161,4,FALSE)</f>
        <v>Undetermined</v>
      </c>
      <c r="C117" s="6">
        <f t="shared" si="1"/>
        <v>40.1</v>
      </c>
      <c r="D117" s="3" t="str">
        <f>VLOOKUP(A117,'Exported Results'!A$42:D$161,2,FALSE)</f>
        <v/>
      </c>
      <c r="E117" s="14">
        <f>AVERAGE(C117:C119)</f>
        <v>40.1</v>
      </c>
      <c r="F117">
        <f>_xlfn.STDEV.P(C117:C119)</f>
        <v>0</v>
      </c>
    </row>
    <row r="118" spans="1:6" ht="14.25" x14ac:dyDescent="0.2">
      <c r="A118" s="5" t="s">
        <v>170</v>
      </c>
      <c r="B118" s="6" t="str">
        <f>VLOOKUP(A118,'Exported Results'!A$42:D$161,4,FALSE)</f>
        <v>Undetermined</v>
      </c>
      <c r="C118" s="6">
        <f t="shared" si="1"/>
        <v>40.1</v>
      </c>
      <c r="D118" s="3" t="str">
        <f>VLOOKUP(A118,'Exported Results'!A$42:D$161,2,FALSE)</f>
        <v/>
      </c>
    </row>
    <row r="119" spans="1:6" ht="14.25" x14ac:dyDescent="0.2">
      <c r="A119" s="5" t="s">
        <v>171</v>
      </c>
      <c r="B119" s="6" t="str">
        <f>VLOOKUP(A119,'Exported Results'!A$42:D$161,4,FALSE)</f>
        <v>Undetermined</v>
      </c>
      <c r="C119" s="6">
        <f t="shared" si="1"/>
        <v>40.1</v>
      </c>
      <c r="D119" s="3" t="str">
        <f>VLOOKUP(A119,'Exported Results'!A$42:D$161,2,FALSE)</f>
        <v/>
      </c>
    </row>
    <row r="120" spans="1:6" ht="14.25" x14ac:dyDescent="0.2">
      <c r="A120" s="5" t="s">
        <v>172</v>
      </c>
      <c r="B120" s="6" t="str">
        <f>VLOOKUP(A120,'Exported Results'!A$42:D$161,4,FALSE)</f>
        <v>Undetermined</v>
      </c>
      <c r="C120" s="6">
        <f t="shared" si="1"/>
        <v>40.1</v>
      </c>
      <c r="D120" s="3" t="str">
        <f>VLOOKUP(A120,'Exported Results'!A$42:D$161,2,FALSE)</f>
        <v/>
      </c>
      <c r="E120" s="14">
        <f>AVERAGE(C120:C122)</f>
        <v>40.1</v>
      </c>
      <c r="F120">
        <f>_xlfn.STDEV.P(C120:C122)</f>
        <v>0</v>
      </c>
    </row>
    <row r="121" spans="1:6" ht="14.25" x14ac:dyDescent="0.2">
      <c r="A121" s="5" t="s">
        <v>173</v>
      </c>
      <c r="B121" s="6" t="str">
        <f>VLOOKUP(A121,'Exported Results'!A$42:D$161,4,FALSE)</f>
        <v>Undetermined</v>
      </c>
      <c r="C121" s="6">
        <f t="shared" si="1"/>
        <v>40.1</v>
      </c>
      <c r="D121" s="3" t="str">
        <f>VLOOKUP(A121,'Exported Results'!A$42:D$161,2,FALSE)</f>
        <v/>
      </c>
    </row>
    <row r="122" spans="1:6" ht="14.25" x14ac:dyDescent="0.2">
      <c r="A122" s="5" t="s">
        <v>174</v>
      </c>
      <c r="B122" s="6" t="str">
        <f>VLOOKUP(A122,'Exported Results'!A$42:D$161,4,FALSE)</f>
        <v>Undetermined</v>
      </c>
      <c r="C122" s="6">
        <f t="shared" si="1"/>
        <v>40.1</v>
      </c>
      <c r="D122" s="3" t="str">
        <f>VLOOKUP(A122,'Exported Results'!A$42:D$161,2,FALSE)</f>
        <v/>
      </c>
    </row>
    <row r="123" spans="1:6" ht="14.25" x14ac:dyDescent="0.2">
      <c r="A123" s="5" t="s">
        <v>175</v>
      </c>
      <c r="B123" s="6" t="str">
        <f>VLOOKUP(A123,'Exported Results'!A$162:D$281,4,FALSE)</f>
        <v>Undetermined</v>
      </c>
      <c r="C123" s="6">
        <f t="shared" si="1"/>
        <v>40.1</v>
      </c>
      <c r="D123" s="3" t="str">
        <f>VLOOKUP(A123,'Exported Results'!A$162:D$281,2,FALSE)</f>
        <v>Blank 1.a</v>
      </c>
      <c r="E123" s="14">
        <f>AVERAGE(C123:C125)</f>
        <v>40.1</v>
      </c>
      <c r="F123">
        <f>_xlfn.STDEV.P(C123:C125)</f>
        <v>0</v>
      </c>
    </row>
    <row r="124" spans="1:6" ht="14.25" x14ac:dyDescent="0.2">
      <c r="A124" s="5" t="s">
        <v>176</v>
      </c>
      <c r="B124" s="6" t="str">
        <f>VLOOKUP(A124,'Exported Results'!A$162:D$281,4,FALSE)</f>
        <v>Undetermined</v>
      </c>
      <c r="C124" s="6">
        <f t="shared" si="1"/>
        <v>40.1</v>
      </c>
      <c r="D124" s="3" t="str">
        <f>VLOOKUP(A124,'Exported Results'!A$162:D$281,2,FALSE)</f>
        <v>Blank 1.b</v>
      </c>
    </row>
    <row r="125" spans="1:6" ht="14.25" x14ac:dyDescent="0.2">
      <c r="A125" s="5" t="s">
        <v>177</v>
      </c>
      <c r="B125" s="6" t="str">
        <f>VLOOKUP(A125,'Exported Results'!A$162:D$281,4,FALSE)</f>
        <v>Undetermined</v>
      </c>
      <c r="C125" s="6">
        <f t="shared" si="1"/>
        <v>40.1</v>
      </c>
      <c r="D125" s="3" t="str">
        <f>VLOOKUP(A125,'Exported Results'!A$162:D$281,2,FALSE)</f>
        <v>Blank 1.c</v>
      </c>
    </row>
    <row r="126" spans="1:6" ht="14.25" x14ac:dyDescent="0.2">
      <c r="A126" s="5" t="s">
        <v>178</v>
      </c>
      <c r="B126" s="6">
        <f>VLOOKUP(A126,'Exported Results'!A$162:D$281,4,FALSE)</f>
        <v>27.295089721679688</v>
      </c>
      <c r="C126" s="6">
        <f t="shared" si="1"/>
        <v>27.295089721679688</v>
      </c>
      <c r="D126" s="3" t="str">
        <f>VLOOKUP(A126,'Exported Results'!A$162:D$281,2,FALSE)</f>
        <v>STD 10a</v>
      </c>
      <c r="E126" s="14">
        <f>AVERAGE(C126:C128)</f>
        <v>27.155117034912109</v>
      </c>
      <c r="F126">
        <f>_xlfn.STDEV.P(C126:C128)</f>
        <v>0.25739137244748594</v>
      </c>
    </row>
    <row r="127" spans="1:6" ht="14.25" x14ac:dyDescent="0.2">
      <c r="A127" s="5" t="s">
        <v>179</v>
      </c>
      <c r="B127" s="6">
        <f>VLOOKUP(A127,'Exported Results'!A$162:D$281,4,FALSE)</f>
        <v>26.794130325317383</v>
      </c>
      <c r="C127" s="6">
        <f t="shared" si="1"/>
        <v>26.794130325317383</v>
      </c>
      <c r="D127" s="3" t="str">
        <f>VLOOKUP(A127,'Exported Results'!A$162:D$281,2,FALSE)</f>
        <v>STD 10b</v>
      </c>
    </row>
    <row r="128" spans="1:6" ht="14.25" x14ac:dyDescent="0.2">
      <c r="A128" s="5" t="s">
        <v>180</v>
      </c>
      <c r="B128" s="6">
        <f>VLOOKUP(A128,'Exported Results'!A$162:D$281,4,FALSE)</f>
        <v>27.376131057739258</v>
      </c>
      <c r="C128" s="6">
        <f t="shared" si="1"/>
        <v>27.376131057739258</v>
      </c>
      <c r="D128" s="3" t="str">
        <f>VLOOKUP(A128,'Exported Results'!A$162:D$281,2,FALSE)</f>
        <v>STD 10c</v>
      </c>
    </row>
    <row r="129" spans="1:6" ht="14.25" x14ac:dyDescent="0.2">
      <c r="A129" s="5" t="s">
        <v>181</v>
      </c>
      <c r="B129" s="6">
        <f>VLOOKUP(A129,'Exported Results'!A$162:D$281,4,FALSE)</f>
        <v>28.352333068847656</v>
      </c>
      <c r="C129" s="6">
        <f t="shared" si="1"/>
        <v>28.352333068847656</v>
      </c>
      <c r="D129" s="3" t="str">
        <f>VLOOKUP(A129,'Exported Results'!A$162:D$281,2,FALSE)</f>
        <v>STD 20a</v>
      </c>
      <c r="E129" s="14">
        <f>AVERAGE(C129:C131)</f>
        <v>28.420527776082356</v>
      </c>
      <c r="F129">
        <f>_xlfn.STDEV.P(C129:C131)</f>
        <v>6.1983813866961397E-2</v>
      </c>
    </row>
    <row r="130" spans="1:6" ht="14.25" x14ac:dyDescent="0.2">
      <c r="A130" s="5" t="s">
        <v>182</v>
      </c>
      <c r="B130" s="6">
        <f>VLOOKUP(A130,'Exported Results'!A$162:D$281,4,FALSE)</f>
        <v>28.502323150634766</v>
      </c>
      <c r="C130" s="6">
        <f t="shared" si="1"/>
        <v>28.502323150634766</v>
      </c>
      <c r="D130" s="3" t="str">
        <f>VLOOKUP(A130,'Exported Results'!A$162:D$281,2,FALSE)</f>
        <v>STD 20b</v>
      </c>
    </row>
    <row r="131" spans="1:6" ht="14.25" x14ac:dyDescent="0.2">
      <c r="A131" s="5" t="s">
        <v>183</v>
      </c>
      <c r="B131" s="6">
        <f>VLOOKUP(A131,'Exported Results'!A$162:D$281,4,FALSE)</f>
        <v>28.406927108764648</v>
      </c>
      <c r="C131" s="6">
        <f t="shared" ref="C131:C194" si="2">IF(B131="Undetermined",40.1,B131)</f>
        <v>28.406927108764648</v>
      </c>
      <c r="D131" s="3" t="str">
        <f>VLOOKUP(A131,'Exported Results'!A$162:D$281,2,FALSE)</f>
        <v>STD 20c</v>
      </c>
    </row>
    <row r="132" spans="1:6" ht="14.25" x14ac:dyDescent="0.2">
      <c r="A132" s="5" t="s">
        <v>184</v>
      </c>
      <c r="B132" s="6">
        <f>VLOOKUP(A132,'Exported Results'!A$162:D$281,4,FALSE)</f>
        <v>29.378091812133789</v>
      </c>
      <c r="C132" s="6">
        <f t="shared" si="2"/>
        <v>29.378091812133789</v>
      </c>
      <c r="D132" s="3" t="str">
        <f>VLOOKUP(A132,'Exported Results'!A$162:D$281,2,FALSE)</f>
        <v>STD 40a</v>
      </c>
      <c r="E132" s="14">
        <f>AVERAGE(C132:C134)</f>
        <v>29.413422902425129</v>
      </c>
      <c r="F132">
        <f>_xlfn.STDEV.P(C132:C134)</f>
        <v>6.3609168049198986E-2</v>
      </c>
    </row>
    <row r="133" spans="1:6" ht="14.25" x14ac:dyDescent="0.2">
      <c r="A133" s="5" t="s">
        <v>185</v>
      </c>
      <c r="B133" s="6">
        <f>VLOOKUP(A133,'Exported Results'!A$162:D$281,4,FALSE)</f>
        <v>29.359443664550781</v>
      </c>
      <c r="C133" s="6">
        <f t="shared" si="2"/>
        <v>29.359443664550781</v>
      </c>
      <c r="D133" s="3" t="str">
        <f>VLOOKUP(A133,'Exported Results'!A$162:D$281,2,FALSE)</f>
        <v>STD 40b</v>
      </c>
    </row>
    <row r="134" spans="1:6" ht="14.25" x14ac:dyDescent="0.2">
      <c r="A134" s="5" t="s">
        <v>186</v>
      </c>
      <c r="B134" s="6">
        <f>VLOOKUP(A134,'Exported Results'!A$162:D$281,4,FALSE)</f>
        <v>29.50273323059082</v>
      </c>
      <c r="C134" s="6">
        <f t="shared" si="2"/>
        <v>29.50273323059082</v>
      </c>
      <c r="D134" s="3" t="str">
        <f>VLOOKUP(A134,'Exported Results'!A$162:D$281,2,FALSE)</f>
        <v>STD 40c</v>
      </c>
    </row>
    <row r="135" spans="1:6" ht="14.25" x14ac:dyDescent="0.2">
      <c r="A135" s="5" t="s">
        <v>187</v>
      </c>
      <c r="B135" s="6">
        <f>VLOOKUP(A135,'Exported Results'!A$162:D$281,4,FALSE)</f>
        <v>30.908027648925781</v>
      </c>
      <c r="C135" s="6">
        <f t="shared" si="2"/>
        <v>30.908027648925781</v>
      </c>
      <c r="D135" s="3" t="str">
        <f>VLOOKUP(A135,'Exported Results'!A$162:D$281,2,FALSE)</f>
        <v>STD 80a</v>
      </c>
      <c r="E135" s="14">
        <f>AVERAGE(C135:C137)</f>
        <v>30.774197260538738</v>
      </c>
      <c r="F135">
        <f>_xlfn.STDEV.P(C135:C137)</f>
        <v>9.5804009357418715E-2</v>
      </c>
    </row>
    <row r="136" spans="1:6" ht="14.25" x14ac:dyDescent="0.2">
      <c r="A136" s="5" t="s">
        <v>188</v>
      </c>
      <c r="B136" s="6">
        <f>VLOOKUP(A136,'Exported Results'!A$162:D$281,4,FALSE)</f>
        <v>30.688987731933594</v>
      </c>
      <c r="C136" s="6">
        <f t="shared" si="2"/>
        <v>30.688987731933594</v>
      </c>
      <c r="D136" s="3" t="str">
        <f>VLOOKUP(A136,'Exported Results'!A$162:D$281,2,FALSE)</f>
        <v>STD 80b</v>
      </c>
    </row>
    <row r="137" spans="1:6" ht="14.25" x14ac:dyDescent="0.2">
      <c r="A137" s="5" t="s">
        <v>189</v>
      </c>
      <c r="B137" s="6">
        <f>VLOOKUP(A137,'Exported Results'!A$162:D$281,4,FALSE)</f>
        <v>30.725576400756836</v>
      </c>
      <c r="C137" s="6">
        <f t="shared" si="2"/>
        <v>30.725576400756836</v>
      </c>
      <c r="D137" s="3" t="str">
        <f>VLOOKUP(A137,'Exported Results'!A$162:D$281,2,FALSE)</f>
        <v>STD 80c</v>
      </c>
    </row>
    <row r="138" spans="1:6" ht="14.25" x14ac:dyDescent="0.2">
      <c r="A138" s="5" t="s">
        <v>190</v>
      </c>
      <c r="B138" s="6">
        <f>VLOOKUP(A138,'Exported Results'!A$162:D$281,4,FALSE)</f>
        <v>31.783414840698242</v>
      </c>
      <c r="C138" s="6">
        <f t="shared" si="2"/>
        <v>31.783414840698242</v>
      </c>
      <c r="D138" s="3" t="str">
        <f>VLOOKUP(A138,'Exported Results'!A$162:D$281,2,FALSE)</f>
        <v>STD 160a</v>
      </c>
      <c r="E138" s="14">
        <f>AVERAGE(C138:C140)</f>
        <v>31.777816136678059</v>
      </c>
      <c r="F138">
        <f>_xlfn.STDEV.P(C138:C140)</f>
        <v>2.3355509909117052E-2</v>
      </c>
    </row>
    <row r="139" spans="1:6" ht="14.25" x14ac:dyDescent="0.2">
      <c r="A139" s="5" t="s">
        <v>191</v>
      </c>
      <c r="B139" s="6">
        <f>VLOOKUP(A139,'Exported Results'!A$162:D$281,4,FALSE)</f>
        <v>31.746826171875</v>
      </c>
      <c r="C139" s="6">
        <f t="shared" si="2"/>
        <v>31.746826171875</v>
      </c>
      <c r="D139" s="3" t="str">
        <f>VLOOKUP(A139,'Exported Results'!A$162:D$281,2,FALSE)</f>
        <v>STD 160b</v>
      </c>
    </row>
    <row r="140" spans="1:6" ht="14.25" x14ac:dyDescent="0.2">
      <c r="A140" s="5" t="s">
        <v>192</v>
      </c>
      <c r="B140" s="6">
        <f>VLOOKUP(A140,'Exported Results'!A$162:D$281,4,FALSE)</f>
        <v>31.803207397460938</v>
      </c>
      <c r="C140" s="6">
        <f t="shared" si="2"/>
        <v>31.803207397460938</v>
      </c>
      <c r="D140" s="3" t="str">
        <f>VLOOKUP(A140,'Exported Results'!A$162:D$281,2,FALSE)</f>
        <v>STD 160c</v>
      </c>
    </row>
    <row r="141" spans="1:6" ht="14.25" x14ac:dyDescent="0.2">
      <c r="A141" s="5" t="s">
        <v>193</v>
      </c>
      <c r="B141" s="6">
        <f>VLOOKUP(A141,'Exported Results'!A$162:D$281,4,FALSE)</f>
        <v>33.312923431396484</v>
      </c>
      <c r="C141" s="7"/>
      <c r="D141" s="3" t="str">
        <f>VLOOKUP(A141,'Exported Results'!A$162:D$281,2,FALSE)</f>
        <v>STD 320a</v>
      </c>
      <c r="E141" s="14">
        <f>AVERAGE(C141:C143)</f>
        <v>32.55586051940918</v>
      </c>
      <c r="F141">
        <f>_xlfn.STDEV.P(C141:C143)</f>
        <v>4.3516159057617188E-2</v>
      </c>
    </row>
    <row r="142" spans="1:6" ht="14.25" x14ac:dyDescent="0.2">
      <c r="A142" s="5" t="s">
        <v>194</v>
      </c>
      <c r="B142" s="6">
        <f>VLOOKUP(A142,'Exported Results'!A$162:D$281,4,FALSE)</f>
        <v>32.599376678466797</v>
      </c>
      <c r="C142" s="6">
        <f t="shared" si="2"/>
        <v>32.599376678466797</v>
      </c>
      <c r="D142" s="3" t="str">
        <f>VLOOKUP(A142,'Exported Results'!A$162:D$281,2,FALSE)</f>
        <v>STD 320b</v>
      </c>
    </row>
    <row r="143" spans="1:6" ht="14.25" x14ac:dyDescent="0.2">
      <c r="A143" s="5" t="s">
        <v>195</v>
      </c>
      <c r="B143" s="6">
        <f>VLOOKUP(A143,'Exported Results'!A$162:D$281,4,FALSE)</f>
        <v>32.512344360351563</v>
      </c>
      <c r="C143" s="6">
        <f t="shared" si="2"/>
        <v>32.512344360351563</v>
      </c>
      <c r="D143" s="3" t="str">
        <f>VLOOKUP(A143,'Exported Results'!A$162:D$281,2,FALSE)</f>
        <v>STD 320c</v>
      </c>
    </row>
    <row r="144" spans="1:6" ht="14.25" x14ac:dyDescent="0.2">
      <c r="A144" s="5" t="s">
        <v>196</v>
      </c>
      <c r="B144" s="6">
        <f>VLOOKUP(A144,'Exported Results'!A$162:D$281,4,FALSE)</f>
        <v>30.377719879150391</v>
      </c>
      <c r="C144" s="6">
        <f t="shared" si="2"/>
        <v>30.377719879150391</v>
      </c>
      <c r="D144" s="3" t="str">
        <f>VLOOKUP(A144,'Exported Results'!A$162:D$281,2,FALSE)</f>
        <v>C1.a</v>
      </c>
      <c r="E144" s="14">
        <f>AVERAGE(C144:C146)</f>
        <v>30.151700973510742</v>
      </c>
      <c r="F144">
        <f>_xlfn.STDEV.P(C144:C146)</f>
        <v>0.16386962219341525</v>
      </c>
    </row>
    <row r="145" spans="1:6" ht="14.25" x14ac:dyDescent="0.2">
      <c r="A145" s="5" t="s">
        <v>197</v>
      </c>
      <c r="B145" s="6">
        <f>VLOOKUP(A145,'Exported Results'!A$162:D$281,4,FALSE)</f>
        <v>30.083036422729492</v>
      </c>
      <c r="C145" s="6">
        <f t="shared" si="2"/>
        <v>30.083036422729492</v>
      </c>
      <c r="D145" s="3" t="str">
        <f>VLOOKUP(A145,'Exported Results'!A$162:D$281,2,FALSE)</f>
        <v>C1.b</v>
      </c>
    </row>
    <row r="146" spans="1:6" ht="14.25" x14ac:dyDescent="0.2">
      <c r="A146" s="5" t="s">
        <v>198</v>
      </c>
      <c r="B146" s="6">
        <f>VLOOKUP(A146,'Exported Results'!A$162:D$281,4,FALSE)</f>
        <v>29.994346618652344</v>
      </c>
      <c r="C146" s="6">
        <f t="shared" si="2"/>
        <v>29.994346618652344</v>
      </c>
      <c r="D146" s="3" t="str">
        <f>VLOOKUP(A146,'Exported Results'!A$162:D$281,2,FALSE)</f>
        <v>C1.c</v>
      </c>
    </row>
    <row r="147" spans="1:6" ht="14.25" x14ac:dyDescent="0.2">
      <c r="A147" s="5" t="s">
        <v>199</v>
      </c>
      <c r="B147" s="6">
        <f>VLOOKUP(A147,'Exported Results'!A$162:D$281,4,FALSE)</f>
        <v>29.630935668945313</v>
      </c>
      <c r="C147" s="6">
        <f t="shared" si="2"/>
        <v>29.630935668945313</v>
      </c>
      <c r="D147" s="3" t="str">
        <f>VLOOKUP(A147,'Exported Results'!A$162:D$281,2,FALSE)</f>
        <v>C2.a</v>
      </c>
      <c r="E147" s="14">
        <f>AVERAGE(C147:C149)</f>
        <v>29.838883717854817</v>
      </c>
      <c r="F147">
        <f>_xlfn.STDEV.P(C147:C149)</f>
        <v>0.17130562463428409</v>
      </c>
    </row>
    <row r="148" spans="1:6" ht="14.25" x14ac:dyDescent="0.2">
      <c r="A148" s="5" t="s">
        <v>200</v>
      </c>
      <c r="B148" s="6">
        <f>VLOOKUP(A148,'Exported Results'!A$162:D$281,4,FALSE)</f>
        <v>30.050498962402344</v>
      </c>
      <c r="C148" s="6">
        <f t="shared" si="2"/>
        <v>30.050498962402344</v>
      </c>
      <c r="D148" s="3" t="str">
        <f>VLOOKUP(A148,'Exported Results'!A$162:D$281,2,FALSE)</f>
        <v>C2.b</v>
      </c>
    </row>
    <row r="149" spans="1:6" ht="14.25" x14ac:dyDescent="0.2">
      <c r="A149" s="5" t="s">
        <v>201</v>
      </c>
      <c r="B149" s="6">
        <f>VLOOKUP(A149,'Exported Results'!A$162:D$281,4,FALSE)</f>
        <v>29.835216522216797</v>
      </c>
      <c r="C149" s="6">
        <f t="shared" si="2"/>
        <v>29.835216522216797</v>
      </c>
      <c r="D149" s="3" t="str">
        <f>VLOOKUP(A149,'Exported Results'!A$162:D$281,2,FALSE)</f>
        <v>C2.c</v>
      </c>
    </row>
    <row r="150" spans="1:6" ht="14.25" x14ac:dyDescent="0.2">
      <c r="A150" s="5" t="s">
        <v>202</v>
      </c>
      <c r="B150" s="6">
        <f>VLOOKUP(A150,'Exported Results'!A$162:D$281,4,FALSE)</f>
        <v>30.088499069213867</v>
      </c>
      <c r="C150" s="6">
        <f t="shared" si="2"/>
        <v>30.088499069213867</v>
      </c>
      <c r="D150" s="3" t="str">
        <f>VLOOKUP(A150,'Exported Results'!A$162:D$281,2,FALSE)</f>
        <v>C3.a</v>
      </c>
      <c r="E150" s="14">
        <f>AVERAGE(C150:C152)</f>
        <v>29.84460957845052</v>
      </c>
      <c r="F150">
        <f>_xlfn.STDEV.P(C150:C152)</f>
        <v>0.26403421811211808</v>
      </c>
    </row>
    <row r="151" spans="1:6" ht="14.25" x14ac:dyDescent="0.2">
      <c r="A151" s="5" t="s">
        <v>203</v>
      </c>
      <c r="B151" s="6">
        <f>VLOOKUP(A151,'Exported Results'!A$162:D$281,4,FALSE)</f>
        <v>29.967531204223633</v>
      </c>
      <c r="C151" s="6">
        <f t="shared" si="2"/>
        <v>29.967531204223633</v>
      </c>
      <c r="D151" s="3" t="str">
        <f>VLOOKUP(A151,'Exported Results'!A$162:D$281,2,FALSE)</f>
        <v>C3.b</v>
      </c>
    </row>
    <row r="152" spans="1:6" ht="14.25" x14ac:dyDescent="0.2">
      <c r="A152" s="5" t="s">
        <v>204</v>
      </c>
      <c r="B152" s="6">
        <f>VLOOKUP(A152,'Exported Results'!A$162:D$281,4,FALSE)</f>
        <v>29.477798461914063</v>
      </c>
      <c r="C152" s="6">
        <f t="shared" si="2"/>
        <v>29.477798461914063</v>
      </c>
      <c r="D152" s="3" t="str">
        <f>VLOOKUP(A152,'Exported Results'!A$162:D$281,2,FALSE)</f>
        <v>C3.c</v>
      </c>
    </row>
    <row r="153" spans="1:6" ht="14.25" x14ac:dyDescent="0.2">
      <c r="A153" s="5" t="s">
        <v>205</v>
      </c>
      <c r="B153" s="6">
        <f>VLOOKUP(A153,'Exported Results'!A$162:D$281,4,FALSE)</f>
        <v>29.59699821472168</v>
      </c>
      <c r="C153" s="6">
        <f t="shared" si="2"/>
        <v>29.59699821472168</v>
      </c>
      <c r="D153" s="3" t="str">
        <f>VLOOKUP(A153,'Exported Results'!A$162:D$281,2,FALSE)</f>
        <v>C4.a</v>
      </c>
      <c r="E153" s="14">
        <f>AVERAGE(C153:C155)</f>
        <v>29.729899724324543</v>
      </c>
      <c r="F153">
        <f>_xlfn.STDEV.P(C153:C155)</f>
        <v>0.10179480603684236</v>
      </c>
    </row>
    <row r="154" spans="1:6" ht="14.25" x14ac:dyDescent="0.2">
      <c r="A154" s="5" t="s">
        <v>206</v>
      </c>
      <c r="B154" s="6">
        <f>VLOOKUP(A154,'Exported Results'!A$162:D$281,4,FALSE)</f>
        <v>29.844268798828125</v>
      </c>
      <c r="C154" s="6">
        <f t="shared" si="2"/>
        <v>29.844268798828125</v>
      </c>
      <c r="D154" s="3" t="str">
        <f>VLOOKUP(A154,'Exported Results'!A$162:D$281,2,FALSE)</f>
        <v>C4.b</v>
      </c>
    </row>
    <row r="155" spans="1:6" ht="14.25" x14ac:dyDescent="0.2">
      <c r="A155" s="5" t="s">
        <v>207</v>
      </c>
      <c r="B155" s="6">
        <f>VLOOKUP(A155,'Exported Results'!A$162:D$281,4,FALSE)</f>
        <v>29.748432159423828</v>
      </c>
      <c r="C155" s="6">
        <f t="shared" si="2"/>
        <v>29.748432159423828</v>
      </c>
      <c r="D155" s="3" t="str">
        <f>VLOOKUP(A155,'Exported Results'!A$162:D$281,2,FALSE)</f>
        <v>C4.c</v>
      </c>
    </row>
    <row r="156" spans="1:6" ht="14.25" x14ac:dyDescent="0.2">
      <c r="A156" s="5" t="s">
        <v>208</v>
      </c>
      <c r="B156" s="6">
        <f>VLOOKUP(A156,'Exported Results'!A$162:D$281,4,FALSE)</f>
        <v>29.848403930664063</v>
      </c>
      <c r="C156" s="6">
        <f t="shared" si="2"/>
        <v>29.848403930664063</v>
      </c>
      <c r="D156" s="3" t="str">
        <f>VLOOKUP(A156,'Exported Results'!A$162:D$281,2,FALSE)</f>
        <v>C5.a</v>
      </c>
      <c r="E156" s="14">
        <f>AVERAGE(C156:C158)</f>
        <v>29.578423182169598</v>
      </c>
      <c r="F156">
        <f>_xlfn.STDEV.P(C156:C158)</f>
        <v>0.21117194812650636</v>
      </c>
    </row>
    <row r="157" spans="1:6" ht="14.25" x14ac:dyDescent="0.2">
      <c r="A157" s="5" t="s">
        <v>209</v>
      </c>
      <c r="B157" s="6">
        <f>VLOOKUP(A157,'Exported Results'!A$162:D$281,4,FALSE)</f>
        <v>29.332874298095703</v>
      </c>
      <c r="C157" s="6">
        <f t="shared" si="2"/>
        <v>29.332874298095703</v>
      </c>
      <c r="D157" s="3" t="str">
        <f>VLOOKUP(A157,'Exported Results'!A$162:D$281,2,FALSE)</f>
        <v>C5.b</v>
      </c>
    </row>
    <row r="158" spans="1:6" ht="14.25" x14ac:dyDescent="0.2">
      <c r="A158" s="5" t="s">
        <v>210</v>
      </c>
      <c r="B158" s="6">
        <f>VLOOKUP(A158,'Exported Results'!A$162:D$281,4,FALSE)</f>
        <v>29.553991317749023</v>
      </c>
      <c r="C158" s="6">
        <f t="shared" si="2"/>
        <v>29.553991317749023</v>
      </c>
      <c r="D158" s="3" t="str">
        <f>VLOOKUP(A158,'Exported Results'!A$162:D$281,2,FALSE)</f>
        <v>C5.c</v>
      </c>
    </row>
    <row r="159" spans="1:6" ht="14.25" x14ac:dyDescent="0.2">
      <c r="A159" s="5" t="s">
        <v>211</v>
      </c>
      <c r="B159" s="6">
        <f>VLOOKUP(A159,'Exported Results'!A$162:D$281,4,FALSE)</f>
        <v>29.792234420776367</v>
      </c>
      <c r="C159" s="6">
        <f t="shared" si="2"/>
        <v>29.792234420776367</v>
      </c>
      <c r="D159" s="3" t="str">
        <f>VLOOKUP(A159,'Exported Results'!A$162:D$281,2,FALSE)</f>
        <v>C6.a</v>
      </c>
      <c r="E159" s="14">
        <f>AVERAGE(C159:C161)</f>
        <v>29.714831034342449</v>
      </c>
      <c r="F159">
        <f>_xlfn.STDEV.P(C159:C161)</f>
        <v>0.22706926485045817</v>
      </c>
    </row>
    <row r="160" spans="1:6" ht="14.25" x14ac:dyDescent="0.2">
      <c r="A160" s="5" t="s">
        <v>212</v>
      </c>
      <c r="B160" s="6">
        <f>VLOOKUP(A160,'Exported Results'!A$162:D$281,4,FALSE)</f>
        <v>29.94603157043457</v>
      </c>
      <c r="C160" s="6">
        <f t="shared" si="2"/>
        <v>29.94603157043457</v>
      </c>
      <c r="D160" s="3" t="str">
        <f>VLOOKUP(A160,'Exported Results'!A$162:D$281,2,FALSE)</f>
        <v>C6.b</v>
      </c>
    </row>
    <row r="161" spans="1:6" ht="14.25" x14ac:dyDescent="0.2">
      <c r="A161" s="5" t="s">
        <v>213</v>
      </c>
      <c r="B161" s="6">
        <f>VLOOKUP(A161,'Exported Results'!A$162:D$281,4,FALSE)</f>
        <v>29.406227111816406</v>
      </c>
      <c r="C161" s="6">
        <f t="shared" si="2"/>
        <v>29.406227111816406</v>
      </c>
      <c r="D161" s="3" t="str">
        <f>VLOOKUP(A161,'Exported Results'!A$162:D$281,2,FALSE)</f>
        <v>C6.c</v>
      </c>
    </row>
    <row r="162" spans="1:6" ht="14.25" x14ac:dyDescent="0.2">
      <c r="A162" s="5" t="s">
        <v>214</v>
      </c>
      <c r="B162" s="6">
        <f>VLOOKUP(A162,'Exported Results'!A$162:D$281,4,FALSE)</f>
        <v>29.579296112060547</v>
      </c>
      <c r="C162" s="6">
        <f t="shared" si="2"/>
        <v>29.579296112060547</v>
      </c>
      <c r="D162" s="3" t="str">
        <f>VLOOKUP(A162,'Exported Results'!A$162:D$281,2,FALSE)</f>
        <v>C7.a</v>
      </c>
      <c r="E162" s="14">
        <f>AVERAGE(C162:C164)</f>
        <v>29.491896947224934</v>
      </c>
      <c r="F162">
        <f>_xlfn.STDEV.P(C162:C164)</f>
        <v>6.2544870620784732E-2</v>
      </c>
    </row>
    <row r="163" spans="1:6" ht="14.25" x14ac:dyDescent="0.2">
      <c r="A163" s="5" t="s">
        <v>215</v>
      </c>
      <c r="B163" s="6">
        <f>VLOOKUP(A163,'Exported Results'!A$162:D$281,4,FALSE)</f>
        <v>29.459980010986328</v>
      </c>
      <c r="C163" s="6">
        <f t="shared" si="2"/>
        <v>29.459980010986328</v>
      </c>
      <c r="D163" s="3" t="str">
        <f>VLOOKUP(A163,'Exported Results'!A$162:D$281,2,FALSE)</f>
        <v>C7.b</v>
      </c>
    </row>
    <row r="164" spans="1:6" ht="14.25" x14ac:dyDescent="0.2">
      <c r="A164" s="5" t="s">
        <v>216</v>
      </c>
      <c r="B164" s="6">
        <f>VLOOKUP(A164,'Exported Results'!A$162:D$281,4,FALSE)</f>
        <v>29.43641471862793</v>
      </c>
      <c r="C164" s="6">
        <f t="shared" si="2"/>
        <v>29.43641471862793</v>
      </c>
      <c r="D164" s="3" t="str">
        <f>VLOOKUP(A164,'Exported Results'!A$162:D$281,2,FALSE)</f>
        <v>C7.c</v>
      </c>
    </row>
    <row r="165" spans="1:6" ht="14.25" x14ac:dyDescent="0.2">
      <c r="A165" s="5" t="s">
        <v>217</v>
      </c>
      <c r="B165" s="6">
        <f>VLOOKUP(A165,'Exported Results'!A$162:D$281,4,FALSE)</f>
        <v>29.138919830322266</v>
      </c>
      <c r="C165" s="6">
        <f t="shared" si="2"/>
        <v>29.138919830322266</v>
      </c>
      <c r="D165" s="3" t="str">
        <f>VLOOKUP(A165,'Exported Results'!A$162:D$281,2,FALSE)</f>
        <v>C8.a</v>
      </c>
      <c r="E165" s="14">
        <f>AVERAGE(C165:C167)</f>
        <v>29.167420705159504</v>
      </c>
      <c r="F165">
        <f>_xlfn.STDEV.P(C165:C167)</f>
        <v>3.4253372028333992E-2</v>
      </c>
    </row>
    <row r="166" spans="1:6" ht="14.25" x14ac:dyDescent="0.2">
      <c r="A166" s="5" t="s">
        <v>218</v>
      </c>
      <c r="B166" s="6">
        <f>VLOOKUP(A166,'Exported Results'!A$162:D$281,4,FALSE)</f>
        <v>29.215593338012695</v>
      </c>
      <c r="C166" s="6">
        <f t="shared" si="2"/>
        <v>29.215593338012695</v>
      </c>
      <c r="D166" s="3" t="str">
        <f>VLOOKUP(A166,'Exported Results'!A$162:D$281,2,FALSE)</f>
        <v>C8.b</v>
      </c>
    </row>
    <row r="167" spans="1:6" ht="14.25" x14ac:dyDescent="0.2">
      <c r="A167" s="5" t="s">
        <v>219</v>
      </c>
      <c r="B167" s="6">
        <f>VLOOKUP(A167,'Exported Results'!A$162:D$281,4,FALSE)</f>
        <v>29.147748947143555</v>
      </c>
      <c r="C167" s="6">
        <f t="shared" si="2"/>
        <v>29.147748947143555</v>
      </c>
      <c r="D167" s="3" t="str">
        <f>VLOOKUP(A167,'Exported Results'!A$162:D$281,2,FALSE)</f>
        <v>C8.c</v>
      </c>
    </row>
    <row r="168" spans="1:6" ht="14.25" x14ac:dyDescent="0.2">
      <c r="A168" s="5" t="s">
        <v>220</v>
      </c>
      <c r="B168" s="6">
        <f>VLOOKUP(A168,'Exported Results'!A$162:D$281,4,FALSE)</f>
        <v>29.010639190673828</v>
      </c>
      <c r="C168" s="6">
        <f t="shared" si="2"/>
        <v>29.010639190673828</v>
      </c>
      <c r="D168" s="3" t="str">
        <f>VLOOKUP(A168,'Exported Results'!A$162:D$281,2,FALSE)</f>
        <v>C9.a</v>
      </c>
      <c r="E168" s="14">
        <f>AVERAGE(C168:C170)</f>
        <v>28.977076212565105</v>
      </c>
      <c r="F168">
        <f>_xlfn.STDEV.P(C168:C170)</f>
        <v>2.3984911829950582E-2</v>
      </c>
    </row>
    <row r="169" spans="1:6" ht="14.25" x14ac:dyDescent="0.2">
      <c r="A169" s="5" t="s">
        <v>221</v>
      </c>
      <c r="B169" s="6">
        <f>VLOOKUP(A169,'Exported Results'!A$162:D$281,4,FALSE)</f>
        <v>28.964544296264648</v>
      </c>
      <c r="C169" s="6">
        <f t="shared" si="2"/>
        <v>28.964544296264648</v>
      </c>
      <c r="D169" s="3" t="str">
        <f>VLOOKUP(A169,'Exported Results'!A$162:D$281,2,FALSE)</f>
        <v>C9.b</v>
      </c>
    </row>
    <row r="170" spans="1:6" ht="14.25" x14ac:dyDescent="0.2">
      <c r="A170" s="5" t="s">
        <v>222</v>
      </c>
      <c r="B170" s="6">
        <f>VLOOKUP(A170,'Exported Results'!A$162:D$281,4,FALSE)</f>
        <v>28.956045150756836</v>
      </c>
      <c r="C170" s="6">
        <f t="shared" si="2"/>
        <v>28.956045150756836</v>
      </c>
      <c r="D170" s="3" t="str">
        <f>VLOOKUP(A170,'Exported Results'!A$162:D$281,2,FALSE)</f>
        <v>C9.c</v>
      </c>
    </row>
    <row r="171" spans="1:6" ht="14.25" x14ac:dyDescent="0.2">
      <c r="A171" s="5" t="s">
        <v>223</v>
      </c>
      <c r="B171" s="6">
        <f>VLOOKUP(A171,'Exported Results'!A$162:D$281,4,FALSE)</f>
        <v>29.929695129394531</v>
      </c>
      <c r="C171" s="6">
        <f t="shared" si="2"/>
        <v>29.929695129394531</v>
      </c>
      <c r="D171" s="3" t="str">
        <f>VLOOKUP(A171,'Exported Results'!A$162:D$281,2,FALSE)</f>
        <v>O1.a</v>
      </c>
      <c r="E171" s="14">
        <f>AVERAGE(C171:C173)</f>
        <v>30.001070022583008</v>
      </c>
      <c r="F171">
        <f>_xlfn.STDEV.P(C171:C173)</f>
        <v>0.12262072009065822</v>
      </c>
    </row>
    <row r="172" spans="1:6" ht="14.25" x14ac:dyDescent="0.2">
      <c r="A172" s="5" t="s">
        <v>224</v>
      </c>
      <c r="B172" s="6">
        <f>VLOOKUP(A172,'Exported Results'!A$162:D$281,4,FALSE)</f>
        <v>29.89988899230957</v>
      </c>
      <c r="C172" s="6">
        <f t="shared" si="2"/>
        <v>29.89988899230957</v>
      </c>
      <c r="D172" s="3" t="str">
        <f>VLOOKUP(A172,'Exported Results'!A$162:D$281,2,FALSE)</f>
        <v>O1.b</v>
      </c>
    </row>
    <row r="173" spans="1:6" ht="14.25" x14ac:dyDescent="0.2">
      <c r="A173" s="5" t="s">
        <v>225</v>
      </c>
      <c r="B173" s="6">
        <f>VLOOKUP(A173,'Exported Results'!A$162:D$281,4,FALSE)</f>
        <v>30.173625946044922</v>
      </c>
      <c r="C173" s="6">
        <f t="shared" si="2"/>
        <v>30.173625946044922</v>
      </c>
      <c r="D173" s="3" t="str">
        <f>VLOOKUP(A173,'Exported Results'!A$162:D$281,2,FALSE)</f>
        <v>O1.c</v>
      </c>
    </row>
    <row r="174" spans="1:6" ht="14.25" x14ac:dyDescent="0.2">
      <c r="A174" s="5" t="s">
        <v>226</v>
      </c>
      <c r="B174" s="6">
        <f>VLOOKUP(A174,'Exported Results'!A$162:D$281,4,FALSE)</f>
        <v>30.171077728271484</v>
      </c>
      <c r="C174" s="6">
        <f t="shared" si="2"/>
        <v>30.171077728271484</v>
      </c>
      <c r="D174" s="3" t="str">
        <f>VLOOKUP(A174,'Exported Results'!A$162:D$281,2,FALSE)</f>
        <v>O2.a</v>
      </c>
      <c r="E174" s="14">
        <f>AVERAGE(C174:C176)</f>
        <v>30.151232401529949</v>
      </c>
      <c r="F174">
        <f>_xlfn.STDEV.P(C174:C176)</f>
        <v>2.3432475510787601E-2</v>
      </c>
    </row>
    <row r="175" spans="1:6" ht="14.25" x14ac:dyDescent="0.2">
      <c r="A175" s="5" t="s">
        <v>227</v>
      </c>
      <c r="B175" s="6">
        <f>VLOOKUP(A175,'Exported Results'!A$162:D$281,4,FALSE)</f>
        <v>30.16429328918457</v>
      </c>
      <c r="C175" s="6">
        <f t="shared" si="2"/>
        <v>30.16429328918457</v>
      </c>
      <c r="D175" s="3" t="str">
        <f>VLOOKUP(A175,'Exported Results'!A$162:D$281,2,FALSE)</f>
        <v>O2.b</v>
      </c>
    </row>
    <row r="176" spans="1:6" ht="14.25" x14ac:dyDescent="0.2">
      <c r="A176" s="5" t="s">
        <v>228</v>
      </c>
      <c r="B176" s="6">
        <f>VLOOKUP(A176,'Exported Results'!A$162:D$281,4,FALSE)</f>
        <v>30.118326187133789</v>
      </c>
      <c r="C176" s="6">
        <f t="shared" si="2"/>
        <v>30.118326187133789</v>
      </c>
      <c r="D176" s="3" t="str">
        <f>VLOOKUP(A176,'Exported Results'!A$162:D$281,2,FALSE)</f>
        <v>O2.c</v>
      </c>
    </row>
    <row r="177" spans="1:6" ht="14.25" x14ac:dyDescent="0.2">
      <c r="A177" s="5" t="s">
        <v>229</v>
      </c>
      <c r="B177" s="6">
        <f>VLOOKUP(A177,'Exported Results'!A$162:D$281,4,FALSE)</f>
        <v>29.885597229003906</v>
      </c>
      <c r="C177" s="6">
        <f t="shared" si="2"/>
        <v>29.885597229003906</v>
      </c>
      <c r="D177" s="3" t="str">
        <f>VLOOKUP(A177,'Exported Results'!A$162:D$281,2,FALSE)</f>
        <v>O3.a</v>
      </c>
      <c r="E177" s="14">
        <f>AVERAGE(C177:C179)</f>
        <v>29.805301666259766</v>
      </c>
      <c r="F177">
        <f>_xlfn.STDEV.P(C177:C179)</f>
        <v>0.12361442223459693</v>
      </c>
    </row>
    <row r="178" spans="1:6" ht="14.25" x14ac:dyDescent="0.2">
      <c r="A178" s="5" t="s">
        <v>230</v>
      </c>
      <c r="B178" s="6">
        <f>VLOOKUP(A178,'Exported Results'!A$162:D$281,4,FALSE)</f>
        <v>29.630672454833984</v>
      </c>
      <c r="C178" s="6">
        <f t="shared" si="2"/>
        <v>29.630672454833984</v>
      </c>
      <c r="D178" s="3" t="str">
        <f>VLOOKUP(A178,'Exported Results'!A$162:D$281,2,FALSE)</f>
        <v>O3.b</v>
      </c>
    </row>
    <row r="179" spans="1:6" ht="14.25" x14ac:dyDescent="0.2">
      <c r="A179" s="5" t="s">
        <v>231</v>
      </c>
      <c r="B179" s="6">
        <f>VLOOKUP(A179,'Exported Results'!A$162:D$281,4,FALSE)</f>
        <v>29.899635314941406</v>
      </c>
      <c r="C179" s="6">
        <f t="shared" si="2"/>
        <v>29.899635314941406</v>
      </c>
      <c r="D179" s="3" t="str">
        <f>VLOOKUP(A179,'Exported Results'!A$162:D$281,2,FALSE)</f>
        <v>O3.c</v>
      </c>
    </row>
    <row r="180" spans="1:6" ht="14.25" x14ac:dyDescent="0.2">
      <c r="A180" s="5" t="s">
        <v>232</v>
      </c>
      <c r="B180" s="6">
        <f>VLOOKUP(A180,'Exported Results'!A$162:D$281,4,FALSE)</f>
        <v>29.629938125610352</v>
      </c>
      <c r="C180" s="6">
        <f t="shared" si="2"/>
        <v>29.629938125610352</v>
      </c>
      <c r="D180" s="3" t="str">
        <f>VLOOKUP(A180,'Exported Results'!A$162:D$281,2,FALSE)</f>
        <v>O4.a</v>
      </c>
      <c r="E180" s="14">
        <f>AVERAGE(C180:C182)</f>
        <v>29.462720235188801</v>
      </c>
      <c r="F180">
        <f>_xlfn.STDEV.P(C180:C182)</f>
        <v>0.13559385639666593</v>
      </c>
    </row>
    <row r="181" spans="1:6" ht="14.25" x14ac:dyDescent="0.2">
      <c r="A181" s="5" t="s">
        <v>233</v>
      </c>
      <c r="B181" s="6">
        <f>VLOOKUP(A181,'Exported Results'!A$162:D$281,4,FALSE)</f>
        <v>29.297826766967773</v>
      </c>
      <c r="C181" s="6">
        <f t="shared" si="2"/>
        <v>29.297826766967773</v>
      </c>
      <c r="D181" s="3" t="str">
        <f>VLOOKUP(A181,'Exported Results'!A$162:D$281,2,FALSE)</f>
        <v>O4.b</v>
      </c>
    </row>
    <row r="182" spans="1:6" ht="14.25" x14ac:dyDescent="0.2">
      <c r="A182" s="5" t="s">
        <v>234</v>
      </c>
      <c r="B182" s="6">
        <f>VLOOKUP(A182,'Exported Results'!A$162:D$281,4,FALSE)</f>
        <v>29.460395812988281</v>
      </c>
      <c r="C182" s="6">
        <f t="shared" si="2"/>
        <v>29.460395812988281</v>
      </c>
      <c r="D182" s="3" t="str">
        <f>VLOOKUP(A182,'Exported Results'!A$162:D$281,2,FALSE)</f>
        <v>O4.c</v>
      </c>
    </row>
    <row r="183" spans="1:6" ht="14.25" x14ac:dyDescent="0.2">
      <c r="A183" s="5" t="s">
        <v>235</v>
      </c>
      <c r="B183" s="6">
        <f>VLOOKUP(A183,'Exported Results'!A$162:D$281,4,FALSE)</f>
        <v>29.441009521484375</v>
      </c>
      <c r="C183" s="6">
        <f t="shared" si="2"/>
        <v>29.441009521484375</v>
      </c>
      <c r="D183" s="3" t="str">
        <f>VLOOKUP(A183,'Exported Results'!A$162:D$281,2,FALSE)</f>
        <v>O5.a</v>
      </c>
      <c r="E183" s="14">
        <f>AVERAGE(C183:C185)</f>
        <v>29.370327631632488</v>
      </c>
      <c r="F183">
        <f>_xlfn.STDEV.P(C183:C185)</f>
        <v>0.14708970966474</v>
      </c>
    </row>
    <row r="184" spans="1:6" ht="14.25" x14ac:dyDescent="0.2">
      <c r="A184" s="5" t="s">
        <v>236</v>
      </c>
      <c r="B184" s="6">
        <f>VLOOKUP(A184,'Exported Results'!A$162:D$281,4,FALSE)</f>
        <v>29.165557861328125</v>
      </c>
      <c r="C184" s="6">
        <f t="shared" si="2"/>
        <v>29.165557861328125</v>
      </c>
      <c r="D184" s="3" t="str">
        <f>VLOOKUP(A184,'Exported Results'!A$162:D$281,2,FALSE)</f>
        <v>O5.b</v>
      </c>
    </row>
    <row r="185" spans="1:6" ht="14.25" x14ac:dyDescent="0.2">
      <c r="A185" s="5" t="s">
        <v>237</v>
      </c>
      <c r="B185" s="6">
        <f>VLOOKUP(A185,'Exported Results'!A$162:D$281,4,FALSE)</f>
        <v>29.504415512084961</v>
      </c>
      <c r="C185" s="6">
        <f t="shared" si="2"/>
        <v>29.504415512084961</v>
      </c>
      <c r="D185" s="3" t="str">
        <f>VLOOKUP(A185,'Exported Results'!A$162:D$281,2,FALSE)</f>
        <v>O5.c</v>
      </c>
    </row>
    <row r="186" spans="1:6" ht="14.25" x14ac:dyDescent="0.2">
      <c r="A186" s="5" t="s">
        <v>238</v>
      </c>
      <c r="B186" s="6">
        <f>VLOOKUP(A186,'Exported Results'!A$162:D$281,4,FALSE)</f>
        <v>29.755624771118164</v>
      </c>
      <c r="C186" s="6">
        <f t="shared" si="2"/>
        <v>29.755624771118164</v>
      </c>
      <c r="D186" s="3" t="str">
        <f>VLOOKUP(A186,'Exported Results'!A$162:D$281,2,FALSE)</f>
        <v>O6.a</v>
      </c>
      <c r="E186" s="14">
        <f>AVERAGE(C186:C188)</f>
        <v>29.371307373046875</v>
      </c>
      <c r="F186">
        <f>_xlfn.STDEV.P(C186:C188)</f>
        <v>0.27719489966660732</v>
      </c>
    </row>
    <row r="187" spans="1:6" ht="14.25" x14ac:dyDescent="0.2">
      <c r="A187" s="5" t="s">
        <v>239</v>
      </c>
      <c r="B187" s="6">
        <f>VLOOKUP(A187,'Exported Results'!A$162:D$281,4,FALSE)</f>
        <v>29.246086120605469</v>
      </c>
      <c r="C187" s="6">
        <f t="shared" si="2"/>
        <v>29.246086120605469</v>
      </c>
      <c r="D187" s="3" t="str">
        <f>VLOOKUP(A187,'Exported Results'!A$162:D$281,2,FALSE)</f>
        <v>O6.b</v>
      </c>
    </row>
    <row r="188" spans="1:6" ht="14.25" x14ac:dyDescent="0.2">
      <c r="A188" s="5" t="s">
        <v>240</v>
      </c>
      <c r="B188" s="6">
        <f>VLOOKUP(A188,'Exported Results'!A$162:D$281,4,FALSE)</f>
        <v>29.112211227416992</v>
      </c>
      <c r="C188" s="6">
        <f t="shared" si="2"/>
        <v>29.112211227416992</v>
      </c>
      <c r="D188" s="3" t="str">
        <f>VLOOKUP(A188,'Exported Results'!A$162:D$281,2,FALSE)</f>
        <v>O6.c</v>
      </c>
    </row>
    <row r="189" spans="1:6" ht="14.25" x14ac:dyDescent="0.2">
      <c r="A189" s="5" t="s">
        <v>241</v>
      </c>
      <c r="B189" s="6">
        <f>VLOOKUP(A189,'Exported Results'!A$162:D$281,4,FALSE)</f>
        <v>29.789628982543945</v>
      </c>
      <c r="C189" s="6">
        <f t="shared" si="2"/>
        <v>29.789628982543945</v>
      </c>
      <c r="D189" s="3" t="str">
        <f>VLOOKUP(A189,'Exported Results'!A$162:D$281,2,FALSE)</f>
        <v>O7.a</v>
      </c>
      <c r="E189" s="14">
        <f>AVERAGE(C189:C191)</f>
        <v>29.681221008300781</v>
      </c>
      <c r="F189">
        <f>_xlfn.STDEV.P(C189:C191)</f>
        <v>0.10458048394152841</v>
      </c>
    </row>
    <row r="190" spans="1:6" ht="14.25" x14ac:dyDescent="0.2">
      <c r="A190" s="5" t="s">
        <v>242</v>
      </c>
      <c r="B190" s="6">
        <f>VLOOKUP(A190,'Exported Results'!A$162:D$281,4,FALSE)</f>
        <v>29.539888381958008</v>
      </c>
      <c r="C190" s="6">
        <f t="shared" si="2"/>
        <v>29.539888381958008</v>
      </c>
      <c r="D190" s="3" t="str">
        <f>VLOOKUP(A190,'Exported Results'!A$162:D$281,2,FALSE)</f>
        <v>O7.b</v>
      </c>
    </row>
    <row r="191" spans="1:6" ht="14.25" x14ac:dyDescent="0.2">
      <c r="A191" s="5" t="s">
        <v>243</v>
      </c>
      <c r="B191" s="6">
        <f>VLOOKUP(A191,'Exported Results'!A$162:D$281,4,FALSE)</f>
        <v>29.714145660400391</v>
      </c>
      <c r="C191" s="6">
        <f t="shared" si="2"/>
        <v>29.714145660400391</v>
      </c>
      <c r="D191" s="3" t="str">
        <f>VLOOKUP(A191,'Exported Results'!A$162:D$281,2,FALSE)</f>
        <v>O7.c</v>
      </c>
    </row>
    <row r="192" spans="1:6" ht="14.25" x14ac:dyDescent="0.2">
      <c r="A192" s="5" t="s">
        <v>244</v>
      </c>
      <c r="B192" s="6">
        <f>VLOOKUP(A192,'Exported Results'!A$162:D$281,4,FALSE)</f>
        <v>29.115257263183594</v>
      </c>
      <c r="C192" s="6">
        <f t="shared" si="2"/>
        <v>29.115257263183594</v>
      </c>
      <c r="D192" s="3" t="str">
        <f>VLOOKUP(A192,'Exported Results'!A$162:D$281,2,FALSE)</f>
        <v>O8.a</v>
      </c>
      <c r="E192" s="14">
        <f>AVERAGE(C192:C194)</f>
        <v>29.050981521606445</v>
      </c>
      <c r="F192">
        <f>_xlfn.STDEV.P(C192:C194)</f>
        <v>4.545159560381145E-2</v>
      </c>
    </row>
    <row r="193" spans="1:6" ht="14.25" x14ac:dyDescent="0.2">
      <c r="A193" s="5" t="s">
        <v>245</v>
      </c>
      <c r="B193" s="6">
        <f>VLOOKUP(A193,'Exported Results'!A$162:D$281,4,FALSE)</f>
        <v>29.019336700439453</v>
      </c>
      <c r="C193" s="6">
        <f t="shared" si="2"/>
        <v>29.019336700439453</v>
      </c>
      <c r="D193" s="3" t="str">
        <f>VLOOKUP(A193,'Exported Results'!A$162:D$281,2,FALSE)</f>
        <v>O8.b</v>
      </c>
    </row>
    <row r="194" spans="1:6" ht="14.25" x14ac:dyDescent="0.2">
      <c r="A194" s="5" t="s">
        <v>246</v>
      </c>
      <c r="B194" s="6">
        <f>VLOOKUP(A194,'Exported Results'!A$162:D$281,4,FALSE)</f>
        <v>29.018350601196289</v>
      </c>
      <c r="C194" s="6">
        <f t="shared" si="2"/>
        <v>29.018350601196289</v>
      </c>
      <c r="D194" s="3" t="str">
        <f>VLOOKUP(A194,'Exported Results'!A$162:D$281,2,FALSE)</f>
        <v>O8.c</v>
      </c>
    </row>
    <row r="195" spans="1:6" ht="14.25" x14ac:dyDescent="0.2">
      <c r="A195" s="5" t="s">
        <v>247</v>
      </c>
      <c r="B195" s="6">
        <f>VLOOKUP(A195,'Exported Results'!A$162:D$281,4,FALSE)</f>
        <v>29.548244476318359</v>
      </c>
      <c r="C195" s="6">
        <f t="shared" ref="C195:C258" si="3">IF(B195="Undetermined",40.1,B195)</f>
        <v>29.548244476318359</v>
      </c>
      <c r="D195" s="3" t="str">
        <f>VLOOKUP(A195,'Exported Results'!A$162:D$281,2,FALSE)</f>
        <v>O9.a</v>
      </c>
      <c r="E195" s="14">
        <f>AVERAGE(C195:C197)</f>
        <v>29.473618189493816</v>
      </c>
      <c r="F195">
        <f>_xlfn.STDEV.P(C195:C197)</f>
        <v>0.1140541720401497</v>
      </c>
    </row>
    <row r="196" spans="1:6" ht="14.25" x14ac:dyDescent="0.2">
      <c r="A196" s="5" t="s">
        <v>248</v>
      </c>
      <c r="B196" s="6">
        <f>VLOOKUP(A196,'Exported Results'!A$162:D$281,4,FALSE)</f>
        <v>29.560142517089844</v>
      </c>
      <c r="C196" s="6">
        <f t="shared" si="3"/>
        <v>29.560142517089844</v>
      </c>
      <c r="D196" s="3" t="str">
        <f>VLOOKUP(A196,'Exported Results'!A$162:D$281,2,FALSE)</f>
        <v>O9.b</v>
      </c>
    </row>
    <row r="197" spans="1:6" ht="14.25" x14ac:dyDescent="0.2">
      <c r="A197" s="5" t="s">
        <v>249</v>
      </c>
      <c r="B197" s="6">
        <f>VLOOKUP(A197,'Exported Results'!A$162:D$281,4,FALSE)</f>
        <v>29.312467575073242</v>
      </c>
      <c r="C197" s="6">
        <f t="shared" si="3"/>
        <v>29.312467575073242</v>
      </c>
      <c r="D197" s="3" t="str">
        <f>VLOOKUP(A197,'Exported Results'!A$162:D$281,2,FALSE)</f>
        <v>O9.c</v>
      </c>
    </row>
    <row r="198" spans="1:6" ht="14.25" x14ac:dyDescent="0.2">
      <c r="A198" s="5" t="s">
        <v>250</v>
      </c>
      <c r="B198" s="6">
        <f>VLOOKUP(A198,'Exported Results'!A$162:D$281,4,FALSE)</f>
        <v>29.899936676025391</v>
      </c>
      <c r="C198" s="6">
        <f t="shared" si="3"/>
        <v>29.899936676025391</v>
      </c>
      <c r="D198" s="3" t="str">
        <f>VLOOKUP(A198,'Exported Results'!A$162:D$281,2,FALSE)</f>
        <v>P1.a</v>
      </c>
      <c r="E198" s="14">
        <f>AVERAGE(C198:C200)</f>
        <v>30.029139836629231</v>
      </c>
      <c r="F198">
        <f>_xlfn.STDEV.P(C198:C200)</f>
        <v>0.10181220931814403</v>
      </c>
    </row>
    <row r="199" spans="1:6" ht="14.25" x14ac:dyDescent="0.2">
      <c r="A199" s="5" t="s">
        <v>251</v>
      </c>
      <c r="B199" s="6">
        <f>VLOOKUP(A199,'Exported Results'!A$162:D$281,4,FALSE)</f>
        <v>30.03870964050293</v>
      </c>
      <c r="C199" s="6">
        <f t="shared" si="3"/>
        <v>30.03870964050293</v>
      </c>
      <c r="D199" s="3" t="str">
        <f>VLOOKUP(A199,'Exported Results'!A$162:D$281,2,FALSE)</f>
        <v>P1.b</v>
      </c>
    </row>
    <row r="200" spans="1:6" ht="14.25" x14ac:dyDescent="0.2">
      <c r="A200" s="5" t="s">
        <v>252</v>
      </c>
      <c r="B200" s="6">
        <f>VLOOKUP(A200,'Exported Results'!A$162:D$281,4,FALSE)</f>
        <v>30.148773193359375</v>
      </c>
      <c r="C200" s="6">
        <f t="shared" si="3"/>
        <v>30.148773193359375</v>
      </c>
      <c r="D200" s="3" t="str">
        <f>VLOOKUP(A200,'Exported Results'!A$162:D$281,2,FALSE)</f>
        <v>P1.c</v>
      </c>
    </row>
    <row r="201" spans="1:6" ht="14.25" x14ac:dyDescent="0.2">
      <c r="A201" s="5" t="s">
        <v>253</v>
      </c>
      <c r="B201" s="6">
        <f>VLOOKUP(A201,'Exported Results'!A$162:D$281,4,FALSE)</f>
        <v>30.067409515380859</v>
      </c>
      <c r="C201" s="6">
        <f t="shared" si="3"/>
        <v>30.067409515380859</v>
      </c>
      <c r="D201" s="3" t="str">
        <f>VLOOKUP(A201,'Exported Results'!A$162:D$281,2,FALSE)</f>
        <v>P2.a</v>
      </c>
      <c r="E201" s="14">
        <f>AVERAGE(C201:C203)</f>
        <v>29.961119969685871</v>
      </c>
      <c r="F201">
        <f>_xlfn.STDEV.P(C201:C203)</f>
        <v>8.8047093068645443E-2</v>
      </c>
    </row>
    <row r="202" spans="1:6" ht="14.25" x14ac:dyDescent="0.2">
      <c r="A202" s="5" t="s">
        <v>254</v>
      </c>
      <c r="B202" s="6">
        <f>VLOOKUP(A202,'Exported Results'!A$162:D$281,4,FALSE)</f>
        <v>29.851802825927734</v>
      </c>
      <c r="C202" s="6">
        <f t="shared" si="3"/>
        <v>29.851802825927734</v>
      </c>
      <c r="D202" s="3" t="str">
        <f>VLOOKUP(A202,'Exported Results'!A$162:D$281,2,FALSE)</f>
        <v>P2.b</v>
      </c>
    </row>
    <row r="203" spans="1:6" ht="14.25" x14ac:dyDescent="0.2">
      <c r="A203" s="5" t="s">
        <v>255</v>
      </c>
      <c r="B203" s="6">
        <f>VLOOKUP(A203,'Exported Results'!A$162:D$281,4,FALSE)</f>
        <v>29.964147567749023</v>
      </c>
      <c r="C203" s="6">
        <f t="shared" si="3"/>
        <v>29.964147567749023</v>
      </c>
      <c r="D203" s="3" t="str">
        <f>VLOOKUP(A203,'Exported Results'!A$162:D$281,2,FALSE)</f>
        <v>P2.c</v>
      </c>
    </row>
    <row r="204" spans="1:6" ht="14.25" x14ac:dyDescent="0.2">
      <c r="A204" s="5" t="s">
        <v>256</v>
      </c>
      <c r="B204" s="6">
        <f>VLOOKUP(A204,'Exported Results'!A$162:D$281,4,FALSE)</f>
        <v>30.22840690612793</v>
      </c>
      <c r="C204" s="6">
        <f t="shared" si="3"/>
        <v>30.22840690612793</v>
      </c>
      <c r="D204" s="3" t="str">
        <f>VLOOKUP(A204,'Exported Results'!A$162:D$281,2,FALSE)</f>
        <v>P3.a</v>
      </c>
      <c r="E204" s="14">
        <f>AVERAGE(C204:C206)</f>
        <v>30.219470977783203</v>
      </c>
      <c r="F204">
        <f>_xlfn.STDEV.P(C204:C206)</f>
        <v>0.18861686362907251</v>
      </c>
    </row>
    <row r="205" spans="1:6" ht="14.25" x14ac:dyDescent="0.2">
      <c r="A205" s="5" t="s">
        <v>257</v>
      </c>
      <c r="B205" s="6">
        <f>VLOOKUP(A205,'Exported Results'!A$162:D$281,4,FALSE)</f>
        <v>30.445880889892578</v>
      </c>
      <c r="C205" s="6">
        <f t="shared" si="3"/>
        <v>30.445880889892578</v>
      </c>
      <c r="D205" s="3" t="str">
        <f>VLOOKUP(A205,'Exported Results'!A$162:D$281,2,FALSE)</f>
        <v>P3.b</v>
      </c>
    </row>
    <row r="206" spans="1:6" ht="14.25" x14ac:dyDescent="0.2">
      <c r="A206" s="5" t="s">
        <v>258</v>
      </c>
      <c r="B206" s="6">
        <f>VLOOKUP(A206,'Exported Results'!A$162:D$281,4,FALSE)</f>
        <v>29.984125137329102</v>
      </c>
      <c r="C206" s="6">
        <f t="shared" si="3"/>
        <v>29.984125137329102</v>
      </c>
      <c r="D206" s="3" t="str">
        <f>VLOOKUP(A206,'Exported Results'!A$162:D$281,2,FALSE)</f>
        <v>P3.c</v>
      </c>
    </row>
    <row r="207" spans="1:6" ht="14.25" x14ac:dyDescent="0.2">
      <c r="A207" s="5" t="s">
        <v>259</v>
      </c>
      <c r="B207" s="6">
        <f>VLOOKUP(A207,'Exported Results'!A$162:D$281,4,FALSE)</f>
        <v>29.99955940246582</v>
      </c>
      <c r="C207" s="6">
        <f t="shared" si="3"/>
        <v>29.99955940246582</v>
      </c>
      <c r="D207" s="3" t="str">
        <f>VLOOKUP(A207,'Exported Results'!A$162:D$281,2,FALSE)</f>
        <v>P4.a</v>
      </c>
      <c r="E207" s="14">
        <f>AVERAGE(C207:C209)</f>
        <v>29.909882227579754</v>
      </c>
      <c r="F207">
        <f>_xlfn.STDEV.P(C207:C209)</f>
        <v>7.4317087878290153E-2</v>
      </c>
    </row>
    <row r="208" spans="1:6" ht="14.25" x14ac:dyDescent="0.2">
      <c r="A208" s="5" t="s">
        <v>260</v>
      </c>
      <c r="B208" s="6">
        <f>VLOOKUP(A208,'Exported Results'!A$162:D$281,4,FALSE)</f>
        <v>29.817577362060547</v>
      </c>
      <c r="C208" s="6">
        <f t="shared" si="3"/>
        <v>29.817577362060547</v>
      </c>
      <c r="D208" s="3" t="str">
        <f>VLOOKUP(A208,'Exported Results'!A$162:D$281,2,FALSE)</f>
        <v>P4.b</v>
      </c>
    </row>
    <row r="209" spans="1:6" ht="14.25" x14ac:dyDescent="0.2">
      <c r="A209" s="5" t="s">
        <v>261</v>
      </c>
      <c r="B209" s="6">
        <f>VLOOKUP(A209,'Exported Results'!A$162:D$281,4,FALSE)</f>
        <v>29.912509918212891</v>
      </c>
      <c r="C209" s="6">
        <f t="shared" si="3"/>
        <v>29.912509918212891</v>
      </c>
      <c r="D209" s="3" t="str">
        <f>VLOOKUP(A209,'Exported Results'!A$162:D$281,2,FALSE)</f>
        <v>P4.c</v>
      </c>
    </row>
    <row r="210" spans="1:6" ht="14.25" x14ac:dyDescent="0.2">
      <c r="A210" s="5" t="s">
        <v>262</v>
      </c>
      <c r="B210" s="6">
        <f>VLOOKUP(A210,'Exported Results'!A$162:D$281,4,FALSE)</f>
        <v>29.275470733642578</v>
      </c>
      <c r="C210" s="6">
        <f t="shared" si="3"/>
        <v>29.275470733642578</v>
      </c>
      <c r="D210" s="3" t="str">
        <f>VLOOKUP(A210,'Exported Results'!A$162:D$281,2,FALSE)</f>
        <v>P5.a</v>
      </c>
      <c r="E210" s="14">
        <f>AVERAGE(C210:C212)</f>
        <v>29.310558319091797</v>
      </c>
      <c r="F210">
        <f>_xlfn.STDEV.P(C210:C212)</f>
        <v>3.8250948285125319E-2</v>
      </c>
    </row>
    <row r="211" spans="1:6" ht="14.25" x14ac:dyDescent="0.2">
      <c r="A211" s="5" t="s">
        <v>263</v>
      </c>
      <c r="B211" s="6">
        <f>VLOOKUP(A211,'Exported Results'!A$162:D$281,4,FALSE)</f>
        <v>29.292446136474609</v>
      </c>
      <c r="C211" s="6">
        <f t="shared" si="3"/>
        <v>29.292446136474609</v>
      </c>
      <c r="D211" s="3" t="str">
        <f>VLOOKUP(A211,'Exported Results'!A$162:D$281,2,FALSE)</f>
        <v>P5.b</v>
      </c>
    </row>
    <row r="212" spans="1:6" ht="14.25" x14ac:dyDescent="0.2">
      <c r="A212" s="5" t="s">
        <v>264</v>
      </c>
      <c r="B212" s="6">
        <f>VLOOKUP(A212,'Exported Results'!A$162:D$281,4,FALSE)</f>
        <v>29.363758087158203</v>
      </c>
      <c r="C212" s="6">
        <f t="shared" si="3"/>
        <v>29.363758087158203</v>
      </c>
      <c r="D212" s="3" t="str">
        <f>VLOOKUP(A212,'Exported Results'!A$162:D$281,2,FALSE)</f>
        <v>P5.c</v>
      </c>
    </row>
    <row r="213" spans="1:6" ht="14.25" x14ac:dyDescent="0.2">
      <c r="A213" s="5" t="s">
        <v>265</v>
      </c>
      <c r="B213" s="6">
        <f>VLOOKUP(A213,'Exported Results'!A$162:D$281,4,FALSE)</f>
        <v>30.018589019775391</v>
      </c>
      <c r="C213" s="6">
        <f t="shared" si="3"/>
        <v>30.018589019775391</v>
      </c>
      <c r="D213" s="3" t="str">
        <f>VLOOKUP(A213,'Exported Results'!A$162:D$281,2,FALSE)</f>
        <v>P6.a</v>
      </c>
      <c r="E213" s="14">
        <f>AVERAGE(C213:C215)</f>
        <v>29.635135650634766</v>
      </c>
      <c r="F213">
        <f>_xlfn.STDEV.P(C213:C215)</f>
        <v>0.28273143425640412</v>
      </c>
    </row>
    <row r="214" spans="1:6" ht="14.25" x14ac:dyDescent="0.2">
      <c r="A214" s="5" t="s">
        <v>266</v>
      </c>
      <c r="B214" s="6">
        <f>VLOOKUP(A214,'Exported Results'!A$162:D$281,4,FALSE)</f>
        <v>29.541532516479492</v>
      </c>
      <c r="C214" s="6">
        <f t="shared" si="3"/>
        <v>29.541532516479492</v>
      </c>
      <c r="D214" s="3" t="str">
        <f>VLOOKUP(A214,'Exported Results'!A$162:D$281,2,FALSE)</f>
        <v>P6.b</v>
      </c>
    </row>
    <row r="215" spans="1:6" ht="14.25" x14ac:dyDescent="0.2">
      <c r="A215" s="5" t="s">
        <v>267</v>
      </c>
      <c r="B215" s="6">
        <f>VLOOKUP(A215,'Exported Results'!A$162:D$281,4,FALSE)</f>
        <v>29.345285415649414</v>
      </c>
      <c r="C215" s="6">
        <f t="shared" si="3"/>
        <v>29.345285415649414</v>
      </c>
      <c r="D215" s="3" t="str">
        <f>VLOOKUP(A215,'Exported Results'!A$162:D$281,2,FALSE)</f>
        <v>P6.c</v>
      </c>
    </row>
    <row r="216" spans="1:6" ht="14.25" x14ac:dyDescent="0.2">
      <c r="A216" s="5" t="s">
        <v>268</v>
      </c>
      <c r="B216" s="6">
        <f>VLOOKUP(A216,'Exported Results'!A$162:D$281,4,FALSE)</f>
        <v>29.661115646362305</v>
      </c>
      <c r="C216" s="6">
        <f t="shared" si="3"/>
        <v>29.661115646362305</v>
      </c>
      <c r="D216" s="3" t="str">
        <f>VLOOKUP(A216,'Exported Results'!A$162:D$281,2,FALSE)</f>
        <v>P7.a</v>
      </c>
      <c r="E216" s="14">
        <f>AVERAGE(C216:C218)</f>
        <v>29.476138432820637</v>
      </c>
      <c r="F216">
        <f>_xlfn.STDEV.P(C216:C218)</f>
        <v>0.14774903407672657</v>
      </c>
    </row>
    <row r="217" spans="1:6" ht="14.25" x14ac:dyDescent="0.2">
      <c r="A217" s="5" t="s">
        <v>269</v>
      </c>
      <c r="B217" s="6">
        <f>VLOOKUP(A217,'Exported Results'!A$162:D$281,4,FALSE)</f>
        <v>29.467805862426758</v>
      </c>
      <c r="C217" s="6">
        <f t="shared" si="3"/>
        <v>29.467805862426758</v>
      </c>
      <c r="D217" s="3" t="str">
        <f>VLOOKUP(A217,'Exported Results'!A$162:D$281,2,FALSE)</f>
        <v>P7.b</v>
      </c>
    </row>
    <row r="218" spans="1:6" ht="14.25" x14ac:dyDescent="0.2">
      <c r="A218" s="5" t="s">
        <v>270</v>
      </c>
      <c r="B218" s="6">
        <f>VLOOKUP(A218,'Exported Results'!A$162:D$281,4,FALSE)</f>
        <v>29.299493789672852</v>
      </c>
      <c r="C218" s="6">
        <f t="shared" si="3"/>
        <v>29.299493789672852</v>
      </c>
      <c r="D218" s="3" t="str">
        <f>VLOOKUP(A218,'Exported Results'!A$162:D$281,2,FALSE)</f>
        <v>P7.c</v>
      </c>
    </row>
    <row r="219" spans="1:6" ht="14.25" x14ac:dyDescent="0.2">
      <c r="A219" s="5" t="s">
        <v>271</v>
      </c>
      <c r="B219" s="6">
        <f>VLOOKUP(A219,'Exported Results'!A$162:D$281,4,FALSE)</f>
        <v>29.603761672973633</v>
      </c>
      <c r="C219" s="6">
        <f t="shared" si="3"/>
        <v>29.603761672973633</v>
      </c>
      <c r="D219" s="3" t="str">
        <f>VLOOKUP(A219,'Exported Results'!A$162:D$281,2,FALSE)</f>
        <v>P8.a</v>
      </c>
      <c r="E219" s="14">
        <f>AVERAGE(C219:C221)</f>
        <v>29.647272109985352</v>
      </c>
      <c r="F219">
        <f>_xlfn.STDEV.P(C219:C221)</f>
        <v>6.6261247526164108E-2</v>
      </c>
    </row>
    <row r="220" spans="1:6" ht="14.25" x14ac:dyDescent="0.2">
      <c r="A220" s="5" t="s">
        <v>272</v>
      </c>
      <c r="B220" s="6">
        <f>VLOOKUP(A220,'Exported Results'!A$162:D$281,4,FALSE)</f>
        <v>29.740901947021484</v>
      </c>
      <c r="C220" s="6">
        <f t="shared" si="3"/>
        <v>29.740901947021484</v>
      </c>
      <c r="D220" s="3" t="str">
        <f>VLOOKUP(A220,'Exported Results'!A$162:D$281,2,FALSE)</f>
        <v>P8.b</v>
      </c>
    </row>
    <row r="221" spans="1:6" ht="14.25" x14ac:dyDescent="0.2">
      <c r="A221" s="5" t="s">
        <v>273</v>
      </c>
      <c r="B221" s="6">
        <f>VLOOKUP(A221,'Exported Results'!A$162:D$281,4,FALSE)</f>
        <v>29.597152709960938</v>
      </c>
      <c r="C221" s="6">
        <f t="shared" si="3"/>
        <v>29.597152709960938</v>
      </c>
      <c r="D221" s="3" t="str">
        <f>VLOOKUP(A221,'Exported Results'!A$162:D$281,2,FALSE)</f>
        <v>P8.c</v>
      </c>
    </row>
    <row r="222" spans="1:6" ht="14.25" x14ac:dyDescent="0.2">
      <c r="A222" s="5" t="s">
        <v>274</v>
      </c>
      <c r="B222" s="6">
        <f>VLOOKUP(A222,'Exported Results'!A$162:D$281,4,FALSE)</f>
        <v>29.37230110168457</v>
      </c>
      <c r="C222" s="6">
        <f t="shared" si="3"/>
        <v>29.37230110168457</v>
      </c>
      <c r="D222" s="3" t="str">
        <f>VLOOKUP(A222,'Exported Results'!A$162:D$281,2,FALSE)</f>
        <v>P9.a</v>
      </c>
      <c r="E222" s="14">
        <f>AVERAGE(C222:C224)</f>
        <v>29.227823893229168</v>
      </c>
      <c r="F222">
        <f>_xlfn.STDEV.P(C222:C224)</f>
        <v>0.24753767656549563</v>
      </c>
    </row>
    <row r="223" spans="1:6" ht="14.25" x14ac:dyDescent="0.2">
      <c r="A223" s="5" t="s">
        <v>275</v>
      </c>
      <c r="B223" s="6">
        <f>VLOOKUP(A223,'Exported Results'!A$162:D$281,4,FALSE)</f>
        <v>28.879438400268555</v>
      </c>
      <c r="C223" s="6">
        <f t="shared" si="3"/>
        <v>28.879438400268555</v>
      </c>
      <c r="D223" s="3" t="str">
        <f>VLOOKUP(A223,'Exported Results'!A$162:D$281,2,FALSE)</f>
        <v>P9.b</v>
      </c>
    </row>
    <row r="224" spans="1:6" ht="14.25" x14ac:dyDescent="0.2">
      <c r="A224" s="5" t="s">
        <v>276</v>
      </c>
      <c r="B224" s="6">
        <f>VLOOKUP(A224,'Exported Results'!A$162:D$281,4,FALSE)</f>
        <v>29.431732177734375</v>
      </c>
      <c r="C224" s="6">
        <f t="shared" si="3"/>
        <v>29.431732177734375</v>
      </c>
      <c r="D224" s="3" t="str">
        <f>VLOOKUP(A224,'Exported Results'!A$162:D$281,2,FALSE)</f>
        <v>P9.c</v>
      </c>
    </row>
    <row r="225" spans="1:6" ht="14.25" x14ac:dyDescent="0.2">
      <c r="A225" s="5" t="s">
        <v>277</v>
      </c>
      <c r="B225" s="6" t="str">
        <f>VLOOKUP(A225,'Exported Results'!A$162:D$281,4,FALSE)</f>
        <v>Undetermined</v>
      </c>
      <c r="C225" s="6">
        <f t="shared" si="3"/>
        <v>40.1</v>
      </c>
      <c r="D225" s="3" t="str">
        <f>VLOOKUP(A225,'Exported Results'!A$162:D$281,2,FALSE)</f>
        <v/>
      </c>
      <c r="E225" s="14">
        <f>AVERAGE(C225:C227)</f>
        <v>40.1</v>
      </c>
      <c r="F225">
        <f>_xlfn.STDEV.P(C225:C227)</f>
        <v>0</v>
      </c>
    </row>
    <row r="226" spans="1:6" ht="14.25" x14ac:dyDescent="0.2">
      <c r="A226" s="5" t="s">
        <v>278</v>
      </c>
      <c r="B226" s="6" t="str">
        <f>VLOOKUP(A226,'Exported Results'!A$162:D$281,4,FALSE)</f>
        <v>Undetermined</v>
      </c>
      <c r="C226" s="6">
        <f t="shared" si="3"/>
        <v>40.1</v>
      </c>
      <c r="D226" s="3" t="str">
        <f>VLOOKUP(A226,'Exported Results'!A$162:D$281,2,FALSE)</f>
        <v/>
      </c>
    </row>
    <row r="227" spans="1:6" ht="14.25" x14ac:dyDescent="0.2">
      <c r="A227" s="5" t="s">
        <v>279</v>
      </c>
      <c r="B227" s="6" t="str">
        <f>VLOOKUP(A227,'Exported Results'!A$162:D$281,4,FALSE)</f>
        <v>Undetermined</v>
      </c>
      <c r="C227" s="6">
        <f t="shared" si="3"/>
        <v>40.1</v>
      </c>
      <c r="D227" s="3" t="str">
        <f>VLOOKUP(A227,'Exported Results'!A$162:D$281,2,FALSE)</f>
        <v/>
      </c>
    </row>
    <row r="228" spans="1:6" ht="14.25" x14ac:dyDescent="0.2">
      <c r="A228" s="5" t="s">
        <v>280</v>
      </c>
      <c r="B228" s="6" t="str">
        <f>VLOOKUP(A228,'Exported Results'!A$162:D$281,4,FALSE)</f>
        <v>Undetermined</v>
      </c>
      <c r="C228" s="6">
        <f t="shared" si="3"/>
        <v>40.1</v>
      </c>
      <c r="D228" s="3" t="str">
        <f>VLOOKUP(A228,'Exported Results'!A$162:D$281,2,FALSE)</f>
        <v/>
      </c>
      <c r="E228" s="14">
        <f>AVERAGE(C228:C230)</f>
        <v>40.1</v>
      </c>
      <c r="F228">
        <f>_xlfn.STDEV.P(C228:C230)</f>
        <v>0</v>
      </c>
    </row>
    <row r="229" spans="1:6" ht="14.25" x14ac:dyDescent="0.2">
      <c r="A229" s="5" t="s">
        <v>281</v>
      </c>
      <c r="B229" s="6" t="str">
        <f>VLOOKUP(A229,'Exported Results'!A$162:D$281,4,FALSE)</f>
        <v>Undetermined</v>
      </c>
      <c r="C229" s="6">
        <f t="shared" si="3"/>
        <v>40.1</v>
      </c>
      <c r="D229" s="3" t="str">
        <f>VLOOKUP(A229,'Exported Results'!A$162:D$281,2,FALSE)</f>
        <v/>
      </c>
    </row>
    <row r="230" spans="1:6" ht="14.25" x14ac:dyDescent="0.2">
      <c r="A230" s="5" t="s">
        <v>282</v>
      </c>
      <c r="B230" s="6" t="str">
        <f>VLOOKUP(A230,'Exported Results'!A$162:D$281,4,FALSE)</f>
        <v>Undetermined</v>
      </c>
      <c r="C230" s="6">
        <f t="shared" si="3"/>
        <v>40.1</v>
      </c>
      <c r="D230" s="3" t="str">
        <f>VLOOKUP(A230,'Exported Results'!A$162:D$281,2,FALSE)</f>
        <v/>
      </c>
    </row>
    <row r="231" spans="1:6" ht="14.25" x14ac:dyDescent="0.2">
      <c r="A231" s="5" t="s">
        <v>283</v>
      </c>
      <c r="B231" s="6" t="str">
        <f>VLOOKUP(A231,'Exported Results'!A$162:D$281,4,FALSE)</f>
        <v>Undetermined</v>
      </c>
      <c r="C231" s="6">
        <f t="shared" si="3"/>
        <v>40.1</v>
      </c>
      <c r="D231" s="3" t="str">
        <f>VLOOKUP(A231,'Exported Results'!A$162:D$281,2,FALSE)</f>
        <v/>
      </c>
      <c r="E231" s="14">
        <f>AVERAGE(C231:C233)</f>
        <v>40.1</v>
      </c>
      <c r="F231">
        <f>_xlfn.STDEV.P(C231:C233)</f>
        <v>0</v>
      </c>
    </row>
    <row r="232" spans="1:6" ht="14.25" x14ac:dyDescent="0.2">
      <c r="A232" s="5" t="s">
        <v>284</v>
      </c>
      <c r="B232" s="6" t="str">
        <f>VLOOKUP(A232,'Exported Results'!A$162:D$281,4,FALSE)</f>
        <v>Undetermined</v>
      </c>
      <c r="C232" s="6">
        <f t="shared" si="3"/>
        <v>40.1</v>
      </c>
      <c r="D232" s="3" t="str">
        <f>VLOOKUP(A232,'Exported Results'!A$162:D$281,2,FALSE)</f>
        <v/>
      </c>
    </row>
    <row r="233" spans="1:6" ht="14.25" x14ac:dyDescent="0.2">
      <c r="A233" s="5" t="s">
        <v>285</v>
      </c>
      <c r="B233" s="6" t="str">
        <f>VLOOKUP(A233,'Exported Results'!A$162:D$281,4,FALSE)</f>
        <v>Undetermined</v>
      </c>
      <c r="C233" s="6">
        <f t="shared" si="3"/>
        <v>40.1</v>
      </c>
      <c r="D233" s="3" t="str">
        <f>VLOOKUP(A233,'Exported Results'!A$162:D$281,2,FALSE)</f>
        <v/>
      </c>
    </row>
    <row r="234" spans="1:6" ht="14.25" x14ac:dyDescent="0.2">
      <c r="A234" s="5" t="s">
        <v>286</v>
      </c>
      <c r="B234" s="6" t="str">
        <f>VLOOKUP(A234,'Exported Results'!A$162:D$281,4,FALSE)</f>
        <v>Undetermined</v>
      </c>
      <c r="C234" s="6">
        <f t="shared" si="3"/>
        <v>40.1</v>
      </c>
      <c r="D234" s="3" t="str">
        <f>VLOOKUP(A234,'Exported Results'!A$162:D$281,2,FALSE)</f>
        <v/>
      </c>
      <c r="E234" s="14">
        <f>AVERAGE(C234:C236)</f>
        <v>40.1</v>
      </c>
      <c r="F234">
        <f>_xlfn.STDEV.P(C234:C236)</f>
        <v>0</v>
      </c>
    </row>
    <row r="235" spans="1:6" ht="14.25" x14ac:dyDescent="0.2">
      <c r="A235" s="5" t="s">
        <v>287</v>
      </c>
      <c r="B235" s="6" t="str">
        <f>VLOOKUP(A235,'Exported Results'!A$162:D$281,4,FALSE)</f>
        <v>Undetermined</v>
      </c>
      <c r="C235" s="6">
        <f t="shared" si="3"/>
        <v>40.1</v>
      </c>
      <c r="D235" s="3" t="str">
        <f>VLOOKUP(A235,'Exported Results'!A$162:D$281,2,FALSE)</f>
        <v/>
      </c>
    </row>
    <row r="236" spans="1:6" ht="14.25" x14ac:dyDescent="0.2">
      <c r="A236" s="5" t="s">
        <v>288</v>
      </c>
      <c r="B236" s="6" t="str">
        <f>VLOOKUP(A236,'Exported Results'!A$162:D$281,4,FALSE)</f>
        <v>Undetermined</v>
      </c>
      <c r="C236" s="6">
        <f t="shared" si="3"/>
        <v>40.1</v>
      </c>
      <c r="D236" s="3" t="str">
        <f>VLOOKUP(A236,'Exported Results'!A$162:D$281,2,FALSE)</f>
        <v/>
      </c>
    </row>
    <row r="237" spans="1:6" ht="14.25" x14ac:dyDescent="0.2">
      <c r="A237" s="5" t="s">
        <v>289</v>
      </c>
      <c r="B237" s="6" t="str">
        <f>VLOOKUP(A237,'Exported Results'!A$162:D$281,4,FALSE)</f>
        <v>Undetermined</v>
      </c>
      <c r="C237" s="6">
        <f t="shared" si="3"/>
        <v>40.1</v>
      </c>
      <c r="D237" s="3" t="str">
        <f>VLOOKUP(A237,'Exported Results'!A$162:D$281,2,FALSE)</f>
        <v/>
      </c>
      <c r="E237" s="14">
        <f>AVERAGE(C237:C239)</f>
        <v>40.1</v>
      </c>
      <c r="F237">
        <f>_xlfn.STDEV.P(C237:C239)</f>
        <v>0</v>
      </c>
    </row>
    <row r="238" spans="1:6" ht="14.25" x14ac:dyDescent="0.2">
      <c r="A238" s="5" t="s">
        <v>290</v>
      </c>
      <c r="B238" s="6" t="str">
        <f>VLOOKUP(A238,'Exported Results'!A$162:D$281,4,FALSE)</f>
        <v>Undetermined</v>
      </c>
      <c r="C238" s="6">
        <f t="shared" si="3"/>
        <v>40.1</v>
      </c>
      <c r="D238" s="3" t="str">
        <f>VLOOKUP(A238,'Exported Results'!A$162:D$281,2,FALSE)</f>
        <v/>
      </c>
    </row>
    <row r="239" spans="1:6" ht="14.25" x14ac:dyDescent="0.2">
      <c r="A239" s="5" t="s">
        <v>291</v>
      </c>
      <c r="B239" s="6" t="str">
        <f>VLOOKUP(A239,'Exported Results'!A$162:D$281,4,FALSE)</f>
        <v>Undetermined</v>
      </c>
      <c r="C239" s="6">
        <f t="shared" si="3"/>
        <v>40.1</v>
      </c>
      <c r="D239" s="3" t="str">
        <f>VLOOKUP(A239,'Exported Results'!A$162:D$281,2,FALSE)</f>
        <v/>
      </c>
    </row>
    <row r="240" spans="1:6" ht="14.25" x14ac:dyDescent="0.2">
      <c r="A240" s="5" t="s">
        <v>292</v>
      </c>
      <c r="B240" s="6" t="str">
        <f>VLOOKUP(A240,'Exported Results'!A$162:D$281,4,FALSE)</f>
        <v>Undetermined</v>
      </c>
      <c r="C240" s="6">
        <f t="shared" si="3"/>
        <v>40.1</v>
      </c>
      <c r="D240" s="3" t="str">
        <f>VLOOKUP(A240,'Exported Results'!A$162:D$281,2,FALSE)</f>
        <v/>
      </c>
      <c r="E240" s="14">
        <f>AVERAGE(C240:C242)</f>
        <v>40.1</v>
      </c>
      <c r="F240">
        <f>_xlfn.STDEV.P(C240:C242)</f>
        <v>0</v>
      </c>
    </row>
    <row r="241" spans="1:6" ht="14.25" x14ac:dyDescent="0.2">
      <c r="A241" s="5" t="s">
        <v>293</v>
      </c>
      <c r="B241" s="6" t="str">
        <f>VLOOKUP(A241,'Exported Results'!A$162:D$281,4,FALSE)</f>
        <v>Undetermined</v>
      </c>
      <c r="C241" s="6">
        <f t="shared" si="3"/>
        <v>40.1</v>
      </c>
      <c r="D241" s="3" t="str">
        <f>VLOOKUP(A241,'Exported Results'!A$162:D$281,2,FALSE)</f>
        <v/>
      </c>
    </row>
    <row r="242" spans="1:6" ht="14.25" x14ac:dyDescent="0.2">
      <c r="A242" s="5" t="s">
        <v>294</v>
      </c>
      <c r="B242" s="6" t="str">
        <f>VLOOKUP(A242,'Exported Results'!A$162:D$281,4,FALSE)</f>
        <v>Undetermined</v>
      </c>
      <c r="C242" s="6">
        <f t="shared" si="3"/>
        <v>40.1</v>
      </c>
      <c r="D242" s="3" t="str">
        <f>VLOOKUP(A242,'Exported Results'!A$162:D$281,2,FALSE)</f>
        <v/>
      </c>
    </row>
    <row r="243" spans="1:6" ht="14.25" x14ac:dyDescent="0.2">
      <c r="A243" s="5" t="s">
        <v>295</v>
      </c>
      <c r="B243" s="6" t="str">
        <f>VLOOKUP(A243,'Exported Results'!A$282:D641,4,FALSE)</f>
        <v>Undetermined</v>
      </c>
      <c r="C243" s="6">
        <f t="shared" si="3"/>
        <v>40.1</v>
      </c>
      <c r="D243" s="3" t="str">
        <f>VLOOKUP(A243,'Exported Results'!A$282:D$641,2,FALSE)</f>
        <v>Blank 1.a</v>
      </c>
      <c r="E243" s="14">
        <f>AVERAGE(C243:C245)</f>
        <v>40.1</v>
      </c>
      <c r="F243">
        <f>_xlfn.STDEV.P(C243:C245)</f>
        <v>0</v>
      </c>
    </row>
    <row r="244" spans="1:6" ht="14.25" x14ac:dyDescent="0.2">
      <c r="A244" s="5" t="s">
        <v>296</v>
      </c>
      <c r="B244" s="6" t="str">
        <f>VLOOKUP(A244,'Exported Results'!A$282:D642,4,FALSE)</f>
        <v>Undetermined</v>
      </c>
      <c r="C244" s="6">
        <f t="shared" si="3"/>
        <v>40.1</v>
      </c>
      <c r="D244" s="3" t="str">
        <f>VLOOKUP(A244,'Exported Results'!A$282:D$641,2,FALSE)</f>
        <v>Blank 1.b</v>
      </c>
    </row>
    <row r="245" spans="1:6" ht="14.25" x14ac:dyDescent="0.2">
      <c r="A245" s="5" t="s">
        <v>297</v>
      </c>
      <c r="B245" s="6" t="str">
        <f>VLOOKUP(A245,'Exported Results'!A$282:D643,4,FALSE)</f>
        <v>Undetermined</v>
      </c>
      <c r="C245" s="6">
        <f t="shared" si="3"/>
        <v>40.1</v>
      </c>
      <c r="D245" s="3" t="str">
        <f>VLOOKUP(A245,'Exported Results'!A$282:D$641,2,FALSE)</f>
        <v>Blank 1.c</v>
      </c>
    </row>
    <row r="246" spans="1:6" ht="14.25" x14ac:dyDescent="0.2">
      <c r="A246" s="5" t="s">
        <v>298</v>
      </c>
      <c r="B246" s="6">
        <f>VLOOKUP(A246,'Exported Results'!A$282:D644,4,FALSE)</f>
        <v>27.750694274902344</v>
      </c>
      <c r="C246" s="6">
        <f t="shared" si="3"/>
        <v>27.750694274902344</v>
      </c>
      <c r="D246" s="3" t="str">
        <f>VLOOKUP(A246,'Exported Results'!A$282:D$641,2,FALSE)</f>
        <v>STD 10a</v>
      </c>
      <c r="E246" s="14">
        <f>AVERAGE(C246:C248)</f>
        <v>27.799346923828125</v>
      </c>
      <c r="F246">
        <f>_xlfn.STDEV.P(C246:C248)</f>
        <v>3.6712043100061584E-2</v>
      </c>
    </row>
    <row r="247" spans="1:6" ht="14.25" x14ac:dyDescent="0.2">
      <c r="A247" s="5" t="s">
        <v>299</v>
      </c>
      <c r="B247" s="6">
        <f>VLOOKUP(A247,'Exported Results'!A$282:D645,4,FALSE)</f>
        <v>27.83936882019043</v>
      </c>
      <c r="C247" s="6">
        <f t="shared" si="3"/>
        <v>27.83936882019043</v>
      </c>
      <c r="D247" s="3" t="str">
        <f>VLOOKUP(A247,'Exported Results'!A$282:D$641,2,FALSE)</f>
        <v>STD 10b</v>
      </c>
    </row>
    <row r="248" spans="1:6" ht="14.25" x14ac:dyDescent="0.2">
      <c r="A248" s="5" t="s">
        <v>300</v>
      </c>
      <c r="B248" s="6">
        <f>VLOOKUP(A248,'Exported Results'!A$282:D646,4,FALSE)</f>
        <v>27.807977676391602</v>
      </c>
      <c r="C248" s="6">
        <f t="shared" si="3"/>
        <v>27.807977676391602</v>
      </c>
      <c r="D248" s="3" t="str">
        <f>VLOOKUP(A248,'Exported Results'!A$282:D$641,2,FALSE)</f>
        <v>STD 10c</v>
      </c>
    </row>
    <row r="249" spans="1:6" ht="14.25" x14ac:dyDescent="0.2">
      <c r="A249" s="5" t="s">
        <v>301</v>
      </c>
      <c r="B249" s="6">
        <f>VLOOKUP(A249,'Exported Results'!A$282:D647,4,FALSE)</f>
        <v>28.942834854125977</v>
      </c>
      <c r="C249" s="6">
        <f t="shared" si="3"/>
        <v>28.942834854125977</v>
      </c>
      <c r="D249" s="3" t="str">
        <f>VLOOKUP(A249,'Exported Results'!A$282:D$641,2,FALSE)</f>
        <v>STD 20a</v>
      </c>
      <c r="E249" s="14">
        <f>AVERAGE(C249:C251)</f>
        <v>28.945344924926758</v>
      </c>
      <c r="F249">
        <f>_xlfn.STDEV.P(C249:C251)</f>
        <v>5.8465386973230657E-3</v>
      </c>
    </row>
    <row r="250" spans="1:6" ht="14.25" x14ac:dyDescent="0.2">
      <c r="A250" s="5" t="s">
        <v>302</v>
      </c>
      <c r="B250" s="6">
        <f>VLOOKUP(A250,'Exported Results'!A$282:D648,4,FALSE)</f>
        <v>28.939777374267578</v>
      </c>
      <c r="C250" s="6">
        <f t="shared" si="3"/>
        <v>28.939777374267578</v>
      </c>
      <c r="D250" s="3" t="str">
        <f>VLOOKUP(A250,'Exported Results'!A$282:D$641,2,FALSE)</f>
        <v>STD 20b</v>
      </c>
    </row>
    <row r="251" spans="1:6" ht="14.25" x14ac:dyDescent="0.2">
      <c r="A251" s="5" t="s">
        <v>303</v>
      </c>
      <c r="B251" s="6">
        <f>VLOOKUP(A251,'Exported Results'!A$282:D649,4,FALSE)</f>
        <v>28.953422546386719</v>
      </c>
      <c r="C251" s="6">
        <f t="shared" si="3"/>
        <v>28.953422546386719</v>
      </c>
      <c r="D251" s="3" t="str">
        <f>VLOOKUP(A251,'Exported Results'!A$282:D$641,2,FALSE)</f>
        <v>STD 20c</v>
      </c>
    </row>
    <row r="252" spans="1:6" ht="14.25" x14ac:dyDescent="0.2">
      <c r="A252" s="5" t="s">
        <v>304</v>
      </c>
      <c r="B252" s="6">
        <f>VLOOKUP(A252,'Exported Results'!A$282:D650,4,FALSE)</f>
        <v>29.731817245483398</v>
      </c>
      <c r="C252" s="6">
        <f t="shared" si="3"/>
        <v>29.731817245483398</v>
      </c>
      <c r="D252" s="3" t="str">
        <f>VLOOKUP(A252,'Exported Results'!A$282:D$641,2,FALSE)</f>
        <v>STD 40a</v>
      </c>
      <c r="E252" s="14">
        <f>AVERAGE(C252:C254)</f>
        <v>29.874709447224934</v>
      </c>
      <c r="F252">
        <f>_xlfn.STDEV.P(C252:C254)</f>
        <v>0.10110428904742041</v>
      </c>
    </row>
    <row r="253" spans="1:6" ht="14.25" x14ac:dyDescent="0.2">
      <c r="A253" s="5" t="s">
        <v>305</v>
      </c>
      <c r="B253" s="6">
        <f>VLOOKUP(A253,'Exported Results'!A$282:D651,4,FALSE)</f>
        <v>29.941741943359375</v>
      </c>
      <c r="C253" s="6">
        <f t="shared" si="3"/>
        <v>29.941741943359375</v>
      </c>
      <c r="D253" s="3" t="str">
        <f>VLOOKUP(A253,'Exported Results'!A$282:D$641,2,FALSE)</f>
        <v>STD 40b</v>
      </c>
    </row>
    <row r="254" spans="1:6" ht="14.25" x14ac:dyDescent="0.2">
      <c r="A254" s="5" t="s">
        <v>306</v>
      </c>
      <c r="B254" s="6">
        <f>VLOOKUP(A254,'Exported Results'!A$282:D652,4,FALSE)</f>
        <v>29.950569152832031</v>
      </c>
      <c r="C254" s="6">
        <f t="shared" si="3"/>
        <v>29.950569152832031</v>
      </c>
      <c r="D254" s="3" t="str">
        <f>VLOOKUP(A254,'Exported Results'!A$282:D$641,2,FALSE)</f>
        <v>STD 40c</v>
      </c>
    </row>
    <row r="255" spans="1:6" ht="14.25" x14ac:dyDescent="0.2">
      <c r="A255" s="5" t="s">
        <v>307</v>
      </c>
      <c r="B255" s="6">
        <f>VLOOKUP(A255,'Exported Results'!A$282:D653,4,FALSE)</f>
        <v>30.950613021850586</v>
      </c>
      <c r="C255" s="6">
        <f t="shared" si="3"/>
        <v>30.950613021850586</v>
      </c>
      <c r="D255" s="3" t="str">
        <f>VLOOKUP(A255,'Exported Results'!A$282:D$641,2,FALSE)</f>
        <v>STD 80a</v>
      </c>
      <c r="E255" s="14">
        <f>AVERAGE(C255:C257)</f>
        <v>31.021127065022785</v>
      </c>
      <c r="F255">
        <f>_xlfn.STDEV.P(C255:C257)</f>
        <v>4.986145891392342E-2</v>
      </c>
    </row>
    <row r="256" spans="1:6" ht="14.25" x14ac:dyDescent="0.2">
      <c r="A256" s="5" t="s">
        <v>308</v>
      </c>
      <c r="B256" s="6">
        <f>VLOOKUP(A256,'Exported Results'!A$282:D654,4,FALSE)</f>
        <v>31.056110382080078</v>
      </c>
      <c r="C256" s="6">
        <f t="shared" si="3"/>
        <v>31.056110382080078</v>
      </c>
      <c r="D256" s="3" t="str">
        <f>VLOOKUP(A256,'Exported Results'!A$282:D$641,2,FALSE)</f>
        <v>STD 80b</v>
      </c>
    </row>
    <row r="257" spans="1:6" ht="14.25" x14ac:dyDescent="0.2">
      <c r="A257" s="5" t="s">
        <v>309</v>
      </c>
      <c r="B257" s="6">
        <f>VLOOKUP(A257,'Exported Results'!A$282:D655,4,FALSE)</f>
        <v>31.056657791137695</v>
      </c>
      <c r="C257" s="6">
        <f t="shared" si="3"/>
        <v>31.056657791137695</v>
      </c>
      <c r="D257" s="3" t="str">
        <f>VLOOKUP(A257,'Exported Results'!A$282:D$641,2,FALSE)</f>
        <v>STD 80c</v>
      </c>
    </row>
    <row r="258" spans="1:6" ht="14.25" x14ac:dyDescent="0.2">
      <c r="A258" s="5" t="s">
        <v>310</v>
      </c>
      <c r="B258" s="6">
        <f>VLOOKUP(A258,'Exported Results'!A$282:D656,4,FALSE)</f>
        <v>31.94622802734375</v>
      </c>
      <c r="C258" s="6">
        <f t="shared" si="3"/>
        <v>31.94622802734375</v>
      </c>
      <c r="D258" s="3" t="str">
        <f>VLOOKUP(A258,'Exported Results'!A$282:D$641,2,FALSE)</f>
        <v>STD 160a</v>
      </c>
      <c r="E258" s="14">
        <f>AVERAGE(C258:C260)</f>
        <v>31.881661732991535</v>
      </c>
      <c r="F258">
        <f>_xlfn.STDEV.P(C258:C260)</f>
        <v>6.9741530681552463E-2</v>
      </c>
    </row>
    <row r="259" spans="1:6" ht="14.25" x14ac:dyDescent="0.2">
      <c r="A259" s="5" t="s">
        <v>311</v>
      </c>
      <c r="B259" s="6">
        <f>VLOOKUP(A259,'Exported Results'!A$282:D657,4,FALSE)</f>
        <v>31.784809112548828</v>
      </c>
      <c r="C259" s="6">
        <f t="shared" ref="C259:C322" si="4">IF(B259="Undetermined",40.1,B259)</f>
        <v>31.784809112548828</v>
      </c>
      <c r="D259" s="3" t="str">
        <f>VLOOKUP(A259,'Exported Results'!A$282:D$641,2,FALSE)</f>
        <v>STD 160b</v>
      </c>
    </row>
    <row r="260" spans="1:6" ht="14.25" x14ac:dyDescent="0.2">
      <c r="A260" s="5" t="s">
        <v>312</v>
      </c>
      <c r="B260" s="6">
        <f>VLOOKUP(A260,'Exported Results'!A$282:D658,4,FALSE)</f>
        <v>31.913948059082031</v>
      </c>
      <c r="C260" s="6">
        <f t="shared" si="4"/>
        <v>31.913948059082031</v>
      </c>
      <c r="D260" s="3" t="str">
        <f>VLOOKUP(A260,'Exported Results'!A$282:D$641,2,FALSE)</f>
        <v>STD 160c</v>
      </c>
    </row>
    <row r="261" spans="1:6" ht="14.25" x14ac:dyDescent="0.2">
      <c r="A261" s="5" t="s">
        <v>313</v>
      </c>
      <c r="B261" s="6">
        <f>VLOOKUP(A261,'Exported Results'!A$282:D659,4,FALSE)</f>
        <v>33.079200744628906</v>
      </c>
      <c r="C261" s="6">
        <f t="shared" si="4"/>
        <v>33.079200744628906</v>
      </c>
      <c r="D261" s="3" t="str">
        <f>VLOOKUP(A261,'Exported Results'!A$282:D$641,2,FALSE)</f>
        <v>STD 320a</v>
      </c>
      <c r="E261" s="14">
        <f>AVERAGE(C261:C263)</f>
        <v>33.336550394694008</v>
      </c>
      <c r="F261">
        <f>_xlfn.STDEV.P(C261:C263)</f>
        <v>0.2759368407050794</v>
      </c>
    </row>
    <row r="262" spans="1:6" ht="14.25" x14ac:dyDescent="0.2">
      <c r="A262" s="5" t="s">
        <v>314</v>
      </c>
      <c r="B262" s="6">
        <f>VLOOKUP(A262,'Exported Results'!A$282:D660,4,FALSE)</f>
        <v>33.719272613525391</v>
      </c>
      <c r="C262" s="6">
        <f t="shared" si="4"/>
        <v>33.719272613525391</v>
      </c>
      <c r="D262" s="3" t="str">
        <f>VLOOKUP(A262,'Exported Results'!A$282:D$641,2,FALSE)</f>
        <v>STD 320b</v>
      </c>
    </row>
    <row r="263" spans="1:6" ht="14.25" x14ac:dyDescent="0.2">
      <c r="A263" s="5" t="s">
        <v>315</v>
      </c>
      <c r="B263" s="6">
        <f>VLOOKUP(A263,'Exported Results'!A$282:D661,4,FALSE)</f>
        <v>33.211177825927734</v>
      </c>
      <c r="C263" s="6">
        <f t="shared" si="4"/>
        <v>33.211177825927734</v>
      </c>
      <c r="D263" s="3" t="str">
        <f>VLOOKUP(A263,'Exported Results'!A$282:D$641,2,FALSE)</f>
        <v>STD 320c</v>
      </c>
    </row>
    <row r="264" spans="1:6" ht="14.25" x14ac:dyDescent="0.2">
      <c r="A264" s="5" t="s">
        <v>316</v>
      </c>
      <c r="B264" s="6">
        <f>VLOOKUP(A264,'Exported Results'!A$282:D662,4,FALSE)</f>
        <v>29.993144989013672</v>
      </c>
      <c r="C264" s="6">
        <f t="shared" si="4"/>
        <v>29.993144989013672</v>
      </c>
      <c r="D264" s="3" t="str">
        <f>VLOOKUP(A264,'Exported Results'!A$282:D$641,2,FALSE)</f>
        <v>C1.a</v>
      </c>
      <c r="E264" s="14">
        <f>AVERAGE(C264:C266)</f>
        <v>30.033357620239258</v>
      </c>
      <c r="F264">
        <f>_xlfn.STDEV.P(C264:C266)</f>
        <v>9.5555569136923244E-2</v>
      </c>
    </row>
    <row r="265" spans="1:6" ht="14.25" x14ac:dyDescent="0.2">
      <c r="A265" s="5" t="s">
        <v>317</v>
      </c>
      <c r="B265" s="6">
        <f>VLOOKUP(A265,'Exported Results'!A$282:D663,4,FALSE)</f>
        <v>29.941734313964844</v>
      </c>
      <c r="C265" s="6">
        <f t="shared" si="4"/>
        <v>29.941734313964844</v>
      </c>
      <c r="D265" s="3" t="str">
        <f>VLOOKUP(A265,'Exported Results'!A$282:D$641,2,FALSE)</f>
        <v>C1.b</v>
      </c>
    </row>
    <row r="266" spans="1:6" ht="14.25" x14ac:dyDescent="0.2">
      <c r="A266" s="5" t="s">
        <v>318</v>
      </c>
      <c r="B266" s="6">
        <f>VLOOKUP(A266,'Exported Results'!A$282:D664,4,FALSE)</f>
        <v>30.165193557739258</v>
      </c>
      <c r="C266" s="6">
        <f t="shared" si="4"/>
        <v>30.165193557739258</v>
      </c>
      <c r="D266" s="3" t="str">
        <f>VLOOKUP(A266,'Exported Results'!A$282:D$641,2,FALSE)</f>
        <v>C1.c</v>
      </c>
    </row>
    <row r="267" spans="1:6" ht="14.25" x14ac:dyDescent="0.2">
      <c r="A267" s="5" t="s">
        <v>319</v>
      </c>
      <c r="B267" s="6">
        <f>VLOOKUP(A267,'Exported Results'!A$282:D665,4,FALSE)</f>
        <v>29.922615051269531</v>
      </c>
      <c r="C267" s="6">
        <f t="shared" si="4"/>
        <v>29.922615051269531</v>
      </c>
      <c r="D267" s="3" t="str">
        <f>VLOOKUP(A267,'Exported Results'!A$282:D$641,2,FALSE)</f>
        <v>C2.a</v>
      </c>
      <c r="E267" s="14">
        <f>AVERAGE(C267:C269)</f>
        <v>30.195458094278973</v>
      </c>
      <c r="F267">
        <f>_xlfn.STDEV.P(C267:C269)</f>
        <v>0.19867518334346185</v>
      </c>
    </row>
    <row r="268" spans="1:6" ht="14.25" x14ac:dyDescent="0.2">
      <c r="A268" s="5" t="s">
        <v>320</v>
      </c>
      <c r="B268" s="6">
        <f>VLOOKUP(A268,'Exported Results'!A$282:D666,4,FALSE)</f>
        <v>30.389976501464844</v>
      </c>
      <c r="C268" s="6">
        <f t="shared" si="4"/>
        <v>30.389976501464844</v>
      </c>
      <c r="D268" s="3" t="str">
        <f>VLOOKUP(A268,'Exported Results'!A$282:D$641,2,FALSE)</f>
        <v>C2.b</v>
      </c>
    </row>
    <row r="269" spans="1:6" ht="14.25" x14ac:dyDescent="0.2">
      <c r="A269" s="5" t="s">
        <v>321</v>
      </c>
      <c r="B269" s="6">
        <f>VLOOKUP(A269,'Exported Results'!A$282:D667,4,FALSE)</f>
        <v>30.273782730102539</v>
      </c>
      <c r="C269" s="6">
        <f t="shared" si="4"/>
        <v>30.273782730102539</v>
      </c>
      <c r="D269" s="3" t="str">
        <f>VLOOKUP(A269,'Exported Results'!A$282:D$641,2,FALSE)</f>
        <v>C2.c</v>
      </c>
    </row>
    <row r="270" spans="1:6" ht="14.25" x14ac:dyDescent="0.2">
      <c r="A270" s="5" t="s">
        <v>322</v>
      </c>
      <c r="B270" s="6">
        <f>VLOOKUP(A270,'Exported Results'!A$282:D668,4,FALSE)</f>
        <v>30.087507247924805</v>
      </c>
      <c r="C270" s="6">
        <f t="shared" si="4"/>
        <v>30.087507247924805</v>
      </c>
      <c r="D270" s="3" t="str">
        <f>VLOOKUP(A270,'Exported Results'!A$282:D$641,2,FALSE)</f>
        <v>C3.a</v>
      </c>
      <c r="E270" s="14">
        <f>AVERAGE(C270:C272)</f>
        <v>30.071093241373699</v>
      </c>
      <c r="F270">
        <f>_xlfn.STDEV.P(C270:C272)</f>
        <v>0.2681712301818811</v>
      </c>
    </row>
    <row r="271" spans="1:6" ht="14.25" x14ac:dyDescent="0.2">
      <c r="A271" s="5" t="s">
        <v>323</v>
      </c>
      <c r="B271" s="6">
        <f>VLOOKUP(A271,'Exported Results'!A$282:D669,4,FALSE)</f>
        <v>29.734752655029297</v>
      </c>
      <c r="C271" s="6">
        <f t="shared" si="4"/>
        <v>29.734752655029297</v>
      </c>
      <c r="D271" s="3" t="str">
        <f>VLOOKUP(A271,'Exported Results'!A$282:D$641,2,FALSE)</f>
        <v>C3.b</v>
      </c>
    </row>
    <row r="272" spans="1:6" ht="14.25" x14ac:dyDescent="0.2">
      <c r="A272" s="5" t="s">
        <v>324</v>
      </c>
      <c r="B272" s="6">
        <f>VLOOKUP(A272,'Exported Results'!A$282:D670,4,FALSE)</f>
        <v>30.391019821166992</v>
      </c>
      <c r="C272" s="6">
        <f t="shared" si="4"/>
        <v>30.391019821166992</v>
      </c>
      <c r="D272" s="3" t="str">
        <f>VLOOKUP(A272,'Exported Results'!A$282:D$641,2,FALSE)</f>
        <v>C3.c</v>
      </c>
    </row>
    <row r="273" spans="1:6" ht="14.25" x14ac:dyDescent="0.2">
      <c r="A273" s="5" t="s">
        <v>325</v>
      </c>
      <c r="B273" s="6">
        <f>VLOOKUP(A273,'Exported Results'!A$282:D671,4,FALSE)</f>
        <v>30.029563903808594</v>
      </c>
      <c r="C273" s="6">
        <f t="shared" si="4"/>
        <v>30.029563903808594</v>
      </c>
      <c r="D273" s="3" t="str">
        <f>VLOOKUP(A273,'Exported Results'!A$282:D$641,2,FALSE)</f>
        <v>C4.a</v>
      </c>
      <c r="E273" s="14">
        <f>AVERAGE(C273:C275)</f>
        <v>29.956874847412109</v>
      </c>
      <c r="F273">
        <f>_xlfn.STDEV.P(C273:C275)</f>
        <v>6.8091843244331818E-2</v>
      </c>
    </row>
    <row r="274" spans="1:6" ht="14.25" x14ac:dyDescent="0.2">
      <c r="A274" s="5" t="s">
        <v>326</v>
      </c>
      <c r="B274" s="6">
        <f>VLOOKUP(A274,'Exported Results'!A$282:D672,4,FALSE)</f>
        <v>29.975229263305664</v>
      </c>
      <c r="C274" s="6">
        <f t="shared" si="4"/>
        <v>29.975229263305664</v>
      </c>
      <c r="D274" s="3" t="str">
        <f>VLOOKUP(A274,'Exported Results'!A$282:D$641,2,FALSE)</f>
        <v>C4.b</v>
      </c>
    </row>
    <row r="275" spans="1:6" ht="14.25" x14ac:dyDescent="0.2">
      <c r="A275" s="8" t="s">
        <v>327</v>
      </c>
      <c r="B275" s="6">
        <f>VLOOKUP(A275,'Exported Results'!A$282:D673,4,FALSE)</f>
        <v>29.86583137512207</v>
      </c>
      <c r="C275" s="6">
        <f t="shared" si="4"/>
        <v>29.86583137512207</v>
      </c>
      <c r="D275" s="3" t="str">
        <f>VLOOKUP(A275,'Exported Results'!A$282:D$641,2,FALSE)</f>
        <v>C4.c</v>
      </c>
    </row>
    <row r="276" spans="1:6" ht="14.25" x14ac:dyDescent="0.2">
      <c r="A276" s="8" t="s">
        <v>328</v>
      </c>
      <c r="B276" s="6">
        <f>VLOOKUP(A276,'Exported Results'!A$282:D674,4,FALSE)</f>
        <v>29.971193313598633</v>
      </c>
      <c r="C276" s="6">
        <f t="shared" si="4"/>
        <v>29.971193313598633</v>
      </c>
      <c r="D276" s="3" t="str">
        <f>VLOOKUP(A276,'Exported Results'!A$282:D$641,2,FALSE)</f>
        <v>C5.a</v>
      </c>
      <c r="E276" s="14">
        <f>AVERAGE(C276:C278)</f>
        <v>29.967255274454754</v>
      </c>
      <c r="F276">
        <f>_xlfn.STDEV.P(C276:C278)</f>
        <v>4.994849642035145E-2</v>
      </c>
    </row>
    <row r="277" spans="1:6" ht="14.25" x14ac:dyDescent="0.2">
      <c r="A277" s="8" t="s">
        <v>329</v>
      </c>
      <c r="B277" s="6">
        <f>VLOOKUP(A277,'Exported Results'!A$282:D675,4,FALSE)</f>
        <v>30.026365280151367</v>
      </c>
      <c r="C277" s="6">
        <f t="shared" si="4"/>
        <v>30.026365280151367</v>
      </c>
      <c r="D277" s="3" t="str">
        <f>VLOOKUP(A277,'Exported Results'!A$282:D$641,2,FALSE)</f>
        <v>C5.b</v>
      </c>
    </row>
    <row r="278" spans="1:6" ht="14.25" x14ac:dyDescent="0.2">
      <c r="A278" s="8" t="s">
        <v>330</v>
      </c>
      <c r="B278" s="6">
        <f>VLOOKUP(A278,'Exported Results'!A$282:D676,4,FALSE)</f>
        <v>29.904207229614258</v>
      </c>
      <c r="C278" s="6">
        <f t="shared" si="4"/>
        <v>29.904207229614258</v>
      </c>
      <c r="D278" s="3" t="str">
        <f>VLOOKUP(A278,'Exported Results'!A$282:D$641,2,FALSE)</f>
        <v>C5.c</v>
      </c>
    </row>
    <row r="279" spans="1:6" ht="14.25" x14ac:dyDescent="0.2">
      <c r="A279" s="8" t="s">
        <v>331</v>
      </c>
      <c r="B279" s="6">
        <f>VLOOKUP(A279,'Exported Results'!A$282:D677,4,FALSE)</f>
        <v>29.853458404541016</v>
      </c>
      <c r="C279" s="6">
        <f t="shared" si="4"/>
        <v>29.853458404541016</v>
      </c>
      <c r="D279" s="3" t="str">
        <f>VLOOKUP(A279,'Exported Results'!A$282:D$641,2,FALSE)</f>
        <v>C6.a</v>
      </c>
      <c r="E279" s="14">
        <f>AVERAGE(C279:C281)</f>
        <v>30.018430074055988</v>
      </c>
      <c r="F279">
        <f>_xlfn.STDEV.P(C279:C281)</f>
        <v>0.11670279809465604</v>
      </c>
    </row>
    <row r="280" spans="1:6" ht="14.25" x14ac:dyDescent="0.2">
      <c r="A280" s="8" t="s">
        <v>332</v>
      </c>
      <c r="B280" s="6">
        <f>VLOOKUP(A280,'Exported Results'!A$282:D678,4,FALSE)</f>
        <v>30.105108261108398</v>
      </c>
      <c r="C280" s="6">
        <f t="shared" si="4"/>
        <v>30.105108261108398</v>
      </c>
      <c r="D280" s="3" t="str">
        <f>VLOOKUP(A280,'Exported Results'!A$282:D$641,2,FALSE)</f>
        <v>C6.b</v>
      </c>
    </row>
    <row r="281" spans="1:6" ht="14.25" x14ac:dyDescent="0.2">
      <c r="A281" s="8" t="s">
        <v>333</v>
      </c>
      <c r="B281" s="6">
        <f>VLOOKUP(A281,'Exported Results'!A$282:D679,4,FALSE)</f>
        <v>30.096723556518555</v>
      </c>
      <c r="C281" s="6">
        <f t="shared" si="4"/>
        <v>30.096723556518555</v>
      </c>
      <c r="D281" s="3" t="str">
        <f>VLOOKUP(A281,'Exported Results'!A$282:D$641,2,FALSE)</f>
        <v>C6.c</v>
      </c>
    </row>
    <row r="282" spans="1:6" ht="14.25" x14ac:dyDescent="0.2">
      <c r="A282" s="8" t="s">
        <v>334</v>
      </c>
      <c r="B282" s="6">
        <f>VLOOKUP(A282,'Exported Results'!A$282:D680,4,FALSE)</f>
        <v>30.177688598632813</v>
      </c>
      <c r="C282" s="6">
        <f t="shared" si="4"/>
        <v>30.177688598632813</v>
      </c>
      <c r="D282" s="3" t="str">
        <f>VLOOKUP(A282,'Exported Results'!A$282:D$641,2,FALSE)</f>
        <v>C7.a</v>
      </c>
      <c r="E282" s="14">
        <f>AVERAGE(C282:C284)</f>
        <v>30.149345397949219</v>
      </c>
      <c r="F282">
        <f>_xlfn.STDEV.P(C282:C284)</f>
        <v>5.4166566981328865E-2</v>
      </c>
    </row>
    <row r="283" spans="1:6" ht="14.25" x14ac:dyDescent="0.2">
      <c r="A283" s="8" t="s">
        <v>335</v>
      </c>
      <c r="B283" s="6">
        <f>VLOOKUP(A283,'Exported Results'!A$282:D681,4,FALSE)</f>
        <v>30.073541641235352</v>
      </c>
      <c r="C283" s="6">
        <f t="shared" si="4"/>
        <v>30.073541641235352</v>
      </c>
      <c r="D283" s="3" t="str">
        <f>VLOOKUP(A283,'Exported Results'!A$282:D$641,2,FALSE)</f>
        <v>C7.b</v>
      </c>
    </row>
    <row r="284" spans="1:6" ht="14.25" x14ac:dyDescent="0.2">
      <c r="A284" s="8" t="s">
        <v>336</v>
      </c>
      <c r="B284" s="6">
        <f>VLOOKUP(A284,'Exported Results'!A$282:D682,4,FALSE)</f>
        <v>30.196805953979492</v>
      </c>
      <c r="C284" s="6">
        <f t="shared" si="4"/>
        <v>30.196805953979492</v>
      </c>
      <c r="D284" s="3" t="str">
        <f>VLOOKUP(A284,'Exported Results'!A$282:D$641,2,FALSE)</f>
        <v>C7.c</v>
      </c>
    </row>
    <row r="285" spans="1:6" ht="14.25" x14ac:dyDescent="0.2">
      <c r="A285" s="8" t="s">
        <v>337</v>
      </c>
      <c r="B285" s="6">
        <f>VLOOKUP(A285,'Exported Results'!A$282:D683,4,FALSE)</f>
        <v>29.739414215087891</v>
      </c>
      <c r="C285" s="6">
        <f t="shared" si="4"/>
        <v>29.739414215087891</v>
      </c>
      <c r="D285" s="3" t="str">
        <f>VLOOKUP(A285,'Exported Results'!A$282:D$641,2,FALSE)</f>
        <v>C8.a</v>
      </c>
      <c r="E285" s="14">
        <f>AVERAGE(C285:C287)</f>
        <v>29.800036112467449</v>
      </c>
      <c r="F285">
        <f>_xlfn.STDEV.P(C285:C287)</f>
        <v>6.4713430115988124E-2</v>
      </c>
    </row>
    <row r="286" spans="1:6" ht="14.25" x14ac:dyDescent="0.2">
      <c r="A286" s="8" t="s">
        <v>338</v>
      </c>
      <c r="B286" s="6">
        <f>VLOOKUP(A286,'Exported Results'!A$282:D684,4,FALSE)</f>
        <v>29.770971298217773</v>
      </c>
      <c r="C286" s="6">
        <f t="shared" si="4"/>
        <v>29.770971298217773</v>
      </c>
      <c r="D286" s="3" t="str">
        <f>VLOOKUP(A286,'Exported Results'!A$282:D$641,2,FALSE)</f>
        <v>C8.b</v>
      </c>
    </row>
    <row r="287" spans="1:6" ht="14.25" x14ac:dyDescent="0.2">
      <c r="A287" s="8" t="s">
        <v>339</v>
      </c>
      <c r="B287" s="6">
        <f>VLOOKUP(A287,'Exported Results'!A$282:D685,4,FALSE)</f>
        <v>29.88972282409668</v>
      </c>
      <c r="C287" s="6">
        <f t="shared" si="4"/>
        <v>29.88972282409668</v>
      </c>
      <c r="D287" s="3" t="str">
        <f>VLOOKUP(A287,'Exported Results'!A$282:D$641,2,FALSE)</f>
        <v>C8.c</v>
      </c>
    </row>
    <row r="288" spans="1:6" ht="14.25" x14ac:dyDescent="0.2">
      <c r="A288" s="8" t="s">
        <v>340</v>
      </c>
      <c r="B288" s="6">
        <f>VLOOKUP(A288,'Exported Results'!A$282:D686,4,FALSE)</f>
        <v>29.608434677124023</v>
      </c>
      <c r="C288" s="6">
        <f t="shared" si="4"/>
        <v>29.608434677124023</v>
      </c>
      <c r="D288" s="3" t="str">
        <f>VLOOKUP(A288,'Exported Results'!A$282:D$641,2,FALSE)</f>
        <v>C9.a</v>
      </c>
      <c r="E288" s="14">
        <f>AVERAGE(C288:C290)</f>
        <v>29.877824147542317</v>
      </c>
      <c r="F288">
        <f>_xlfn.STDEV.P(C288:C290)</f>
        <v>0.1931345580750711</v>
      </c>
    </row>
    <row r="289" spans="1:6" ht="14.25" x14ac:dyDescent="0.2">
      <c r="A289" s="8" t="s">
        <v>341</v>
      </c>
      <c r="B289" s="6">
        <f>VLOOKUP(A289,'Exported Results'!A$282:D687,4,FALSE)</f>
        <v>29.973487854003906</v>
      </c>
      <c r="C289" s="6">
        <f t="shared" si="4"/>
        <v>29.973487854003906</v>
      </c>
      <c r="D289" s="3" t="str">
        <f>VLOOKUP(A289,'Exported Results'!A$282:D$641,2,FALSE)</f>
        <v>C9.b</v>
      </c>
    </row>
    <row r="290" spans="1:6" ht="14.25" x14ac:dyDescent="0.2">
      <c r="A290" s="8" t="s">
        <v>342</v>
      </c>
      <c r="B290" s="6">
        <f>VLOOKUP(A290,'Exported Results'!A$282:D688,4,FALSE)</f>
        <v>30.051549911499023</v>
      </c>
      <c r="C290" s="6">
        <f t="shared" si="4"/>
        <v>30.051549911499023</v>
      </c>
      <c r="D290" s="3" t="str">
        <f>VLOOKUP(A290,'Exported Results'!A$282:D$641,2,FALSE)</f>
        <v>C9.c</v>
      </c>
    </row>
    <row r="291" spans="1:6" ht="14.25" x14ac:dyDescent="0.2">
      <c r="A291" s="8" t="s">
        <v>343</v>
      </c>
      <c r="B291" s="6">
        <f>VLOOKUP(A291,'Exported Results'!A$282:D689,4,FALSE)</f>
        <v>29.981678009033203</v>
      </c>
      <c r="C291" s="6">
        <f t="shared" si="4"/>
        <v>29.981678009033203</v>
      </c>
      <c r="D291" s="3" t="str">
        <f>VLOOKUP(A291,'Exported Results'!A$282:D$641,2,FALSE)</f>
        <v>O1.a</v>
      </c>
      <c r="E291" s="14">
        <f>AVERAGE(C291:C293)</f>
        <v>30.109227180480957</v>
      </c>
      <c r="F291">
        <f>_xlfn.STDEV.P(C291:C293)</f>
        <v>0.12754917144775391</v>
      </c>
    </row>
    <row r="292" spans="1:6" ht="14.25" x14ac:dyDescent="0.2">
      <c r="A292" s="8" t="s">
        <v>344</v>
      </c>
      <c r="B292" s="6">
        <f>VLOOKUP(A292,'Exported Results'!A$282:D690,4,FALSE)</f>
        <v>30.236776351928711</v>
      </c>
      <c r="C292" s="6">
        <f t="shared" si="4"/>
        <v>30.236776351928711</v>
      </c>
      <c r="D292" s="3" t="str">
        <f>VLOOKUP(A292,'Exported Results'!A$282:D$641,2,FALSE)</f>
        <v>O1.b</v>
      </c>
    </row>
    <row r="293" spans="1:6" ht="14.25" x14ac:dyDescent="0.2">
      <c r="A293" s="8" t="s">
        <v>345</v>
      </c>
      <c r="B293" s="6">
        <f>VLOOKUP(A293,'Exported Results'!A$282:D691,4,FALSE)</f>
        <v>29.33043098449707</v>
      </c>
      <c r="C293" s="7"/>
      <c r="D293" s="3" t="str">
        <f>VLOOKUP(A293,'Exported Results'!A$282:D$641,2,FALSE)</f>
        <v>O1.c</v>
      </c>
    </row>
    <row r="294" spans="1:6" ht="14.25" x14ac:dyDescent="0.2">
      <c r="A294" s="8" t="s">
        <v>346</v>
      </c>
      <c r="B294" s="6">
        <f>VLOOKUP(A294,'Exported Results'!A$282:D692,4,FALSE)</f>
        <v>29.94373893737793</v>
      </c>
      <c r="C294" s="6">
        <f t="shared" si="4"/>
        <v>29.94373893737793</v>
      </c>
      <c r="D294" s="3" t="str">
        <f>VLOOKUP(A294,'Exported Results'!A$282:D$641,2,FALSE)</f>
        <v>O2.a</v>
      </c>
      <c r="E294" s="14">
        <f>AVERAGE(C294:C296)</f>
        <v>30.035664876302082</v>
      </c>
      <c r="F294">
        <f>_xlfn.STDEV.P(C294:C296)</f>
        <v>7.0538253398727532E-2</v>
      </c>
    </row>
    <row r="295" spans="1:6" ht="14.25" x14ac:dyDescent="0.2">
      <c r="A295" s="8" t="s">
        <v>347</v>
      </c>
      <c r="B295" s="6">
        <f>VLOOKUP(A295,'Exported Results'!A$282:D693,4,FALSE)</f>
        <v>30.048076629638672</v>
      </c>
      <c r="C295" s="6">
        <f t="shared" si="4"/>
        <v>30.048076629638672</v>
      </c>
      <c r="D295" s="3" t="str">
        <f>VLOOKUP(A295,'Exported Results'!A$282:D$641,2,FALSE)</f>
        <v>O2.b</v>
      </c>
    </row>
    <row r="296" spans="1:6" ht="14.25" x14ac:dyDescent="0.2">
      <c r="A296" s="8" t="s">
        <v>348</v>
      </c>
      <c r="B296" s="6">
        <f>VLOOKUP(A296,'Exported Results'!A$282:D694,4,FALSE)</f>
        <v>30.115179061889648</v>
      </c>
      <c r="C296" s="6">
        <f t="shared" si="4"/>
        <v>30.115179061889648</v>
      </c>
      <c r="D296" s="3" t="str">
        <f>VLOOKUP(A296,'Exported Results'!A$282:D$641,2,FALSE)</f>
        <v>O2.c</v>
      </c>
    </row>
    <row r="297" spans="1:6" ht="14.25" x14ac:dyDescent="0.2">
      <c r="A297" s="8" t="s">
        <v>349</v>
      </c>
      <c r="B297" s="6">
        <f>VLOOKUP(A297,'Exported Results'!A$282:D695,4,FALSE)</f>
        <v>29.943954467773438</v>
      </c>
      <c r="C297" s="6">
        <f t="shared" si="4"/>
        <v>29.943954467773438</v>
      </c>
      <c r="D297" s="3" t="str">
        <f>VLOOKUP(A297,'Exported Results'!A$282:D$641,2,FALSE)</f>
        <v>O3.a</v>
      </c>
      <c r="E297" s="14">
        <f>AVERAGE(C297:C299)</f>
        <v>29.673756281534832</v>
      </c>
      <c r="F297">
        <f>_xlfn.STDEV.P(C297:C299)</f>
        <v>0.19107808584019942</v>
      </c>
    </row>
    <row r="298" spans="1:6" ht="14.25" x14ac:dyDescent="0.2">
      <c r="A298" s="8" t="s">
        <v>350</v>
      </c>
      <c r="B298" s="6">
        <f>VLOOKUP(A298,'Exported Results'!A$282:D696,4,FALSE)</f>
        <v>29.535346984863281</v>
      </c>
      <c r="C298" s="6">
        <f t="shared" si="4"/>
        <v>29.535346984863281</v>
      </c>
      <c r="D298" s="3" t="str">
        <f>VLOOKUP(A298,'Exported Results'!A$282:D$641,2,FALSE)</f>
        <v>O3.b</v>
      </c>
    </row>
    <row r="299" spans="1:6" ht="14.25" x14ac:dyDescent="0.2">
      <c r="A299" s="8" t="s">
        <v>351</v>
      </c>
      <c r="B299" s="6">
        <f>VLOOKUP(A299,'Exported Results'!A$282:D697,4,FALSE)</f>
        <v>29.541967391967773</v>
      </c>
      <c r="C299" s="6">
        <f t="shared" si="4"/>
        <v>29.541967391967773</v>
      </c>
      <c r="D299" s="3" t="str">
        <f>VLOOKUP(A299,'Exported Results'!A$282:D$641,2,FALSE)</f>
        <v>O3.c</v>
      </c>
    </row>
    <row r="300" spans="1:6" ht="14.25" x14ac:dyDescent="0.2">
      <c r="A300" s="8" t="s">
        <v>352</v>
      </c>
      <c r="B300" s="6">
        <f>VLOOKUP(A300,'Exported Results'!A$282:D698,4,FALSE)</f>
        <v>29.293571472167969</v>
      </c>
      <c r="C300" s="6">
        <f t="shared" si="4"/>
        <v>29.293571472167969</v>
      </c>
      <c r="D300" s="3" t="str">
        <f>VLOOKUP(A300,'Exported Results'!A$282:D$641,2,FALSE)</f>
        <v>O4.a</v>
      </c>
      <c r="E300" s="14">
        <f>AVERAGE(C300:C302)</f>
        <v>29.562442779541016</v>
      </c>
      <c r="F300">
        <f>_xlfn.STDEV.P(C300:C302)</f>
        <v>0.19340660533571682</v>
      </c>
    </row>
    <row r="301" spans="1:6" ht="14.25" x14ac:dyDescent="0.2">
      <c r="A301" s="8" t="s">
        <v>353</v>
      </c>
      <c r="B301" s="6">
        <f>VLOOKUP(A301,'Exported Results'!A$282:D699,4,FALSE)</f>
        <v>29.653400421142578</v>
      </c>
      <c r="C301" s="6">
        <f t="shared" si="4"/>
        <v>29.653400421142578</v>
      </c>
      <c r="D301" s="3" t="str">
        <f>VLOOKUP(A301,'Exported Results'!A$282:D$641,2,FALSE)</f>
        <v>O4.b</v>
      </c>
    </row>
    <row r="302" spans="1:6" ht="14.25" x14ac:dyDescent="0.2">
      <c r="A302" s="8" t="s">
        <v>354</v>
      </c>
      <c r="B302" s="6">
        <f>VLOOKUP(A302,'Exported Results'!A$282:D700,4,FALSE)</f>
        <v>29.7403564453125</v>
      </c>
      <c r="C302" s="6">
        <f t="shared" si="4"/>
        <v>29.7403564453125</v>
      </c>
      <c r="D302" s="3" t="str">
        <f>VLOOKUP(A302,'Exported Results'!A$282:D$641,2,FALSE)</f>
        <v>O4.c</v>
      </c>
    </row>
    <row r="303" spans="1:6" ht="14.25" x14ac:dyDescent="0.2">
      <c r="A303" s="8" t="s">
        <v>355</v>
      </c>
      <c r="B303" s="6">
        <f>VLOOKUP(A303,'Exported Results'!A$282:D701,4,FALSE)</f>
        <v>29.492654800415039</v>
      </c>
      <c r="C303" s="6">
        <f t="shared" si="4"/>
        <v>29.492654800415039</v>
      </c>
      <c r="D303" s="3" t="str">
        <f>VLOOKUP(A303,'Exported Results'!A$282:D$641,2,FALSE)</f>
        <v>O5.a</v>
      </c>
      <c r="E303" s="14">
        <f>AVERAGE(C303:C305)</f>
        <v>29.613819122314453</v>
      </c>
      <c r="F303">
        <f>_xlfn.STDEV.P(C303:C305)</f>
        <v>9.6498456423922865E-2</v>
      </c>
    </row>
    <row r="304" spans="1:6" ht="14.25" x14ac:dyDescent="0.2">
      <c r="A304" s="8" t="s">
        <v>356</v>
      </c>
      <c r="B304" s="6">
        <f>VLOOKUP(A304,'Exported Results'!A$282:D702,4,FALSE)</f>
        <v>29.620019912719727</v>
      </c>
      <c r="C304" s="6">
        <f t="shared" si="4"/>
        <v>29.620019912719727</v>
      </c>
      <c r="D304" s="3" t="str">
        <f>VLOOKUP(A304,'Exported Results'!A$282:D$641,2,FALSE)</f>
        <v>O5.b</v>
      </c>
    </row>
    <row r="305" spans="1:6" ht="14.25" x14ac:dyDescent="0.2">
      <c r="A305" s="8" t="s">
        <v>357</v>
      </c>
      <c r="B305" s="6">
        <f>VLOOKUP(A305,'Exported Results'!A$282:D703,4,FALSE)</f>
        <v>29.728782653808594</v>
      </c>
      <c r="C305" s="6">
        <f t="shared" si="4"/>
        <v>29.728782653808594</v>
      </c>
      <c r="D305" s="3" t="str">
        <f>VLOOKUP(A305,'Exported Results'!A$282:D$641,2,FALSE)</f>
        <v>O5.c</v>
      </c>
    </row>
    <row r="306" spans="1:6" ht="14.25" x14ac:dyDescent="0.2">
      <c r="A306" s="8" t="s">
        <v>358</v>
      </c>
      <c r="B306" s="6">
        <f>VLOOKUP(A306,'Exported Results'!A$282:D704,4,FALSE)</f>
        <v>29.703996658325195</v>
      </c>
      <c r="C306" s="6">
        <f t="shared" si="4"/>
        <v>29.703996658325195</v>
      </c>
      <c r="D306" s="3" t="str">
        <f>VLOOKUP(A306,'Exported Results'!A$282:D$641,2,FALSE)</f>
        <v>O6.a</v>
      </c>
      <c r="E306" s="14">
        <f>AVERAGE(C306:C308)</f>
        <v>29.680765787760418</v>
      </c>
      <c r="F306">
        <f>_xlfn.STDEV.P(C306:C308)</f>
        <v>0.14381271711023735</v>
      </c>
    </row>
    <row r="307" spans="1:6" ht="14.25" x14ac:dyDescent="0.2">
      <c r="A307" s="8" t="s">
        <v>359</v>
      </c>
      <c r="B307" s="6">
        <f>VLOOKUP(A307,'Exported Results'!A$282:D705,4,FALSE)</f>
        <v>29.494169235229492</v>
      </c>
      <c r="C307" s="6">
        <f t="shared" si="4"/>
        <v>29.494169235229492</v>
      </c>
      <c r="D307" s="3" t="str">
        <f>VLOOKUP(A307,'Exported Results'!A$282:D$641,2,FALSE)</f>
        <v>O6.b</v>
      </c>
    </row>
    <row r="308" spans="1:6" ht="14.25" x14ac:dyDescent="0.2">
      <c r="A308" s="8" t="s">
        <v>360</v>
      </c>
      <c r="B308" s="6">
        <f>VLOOKUP(A308,'Exported Results'!A$282:D706,4,FALSE)</f>
        <v>29.844131469726563</v>
      </c>
      <c r="C308" s="6">
        <f t="shared" si="4"/>
        <v>29.844131469726563</v>
      </c>
      <c r="D308" s="3" t="str">
        <f>VLOOKUP(A308,'Exported Results'!A$282:D$641,2,FALSE)</f>
        <v>O6.c</v>
      </c>
    </row>
    <row r="309" spans="1:6" ht="14.25" x14ac:dyDescent="0.2">
      <c r="A309" s="8" t="s">
        <v>361</v>
      </c>
      <c r="B309" s="6">
        <f>VLOOKUP(A309,'Exported Results'!A$282:D707,4,FALSE)</f>
        <v>30.136524200439453</v>
      </c>
      <c r="C309" s="6">
        <f t="shared" si="4"/>
        <v>30.136524200439453</v>
      </c>
      <c r="D309" s="3" t="str">
        <f>VLOOKUP(A309,'Exported Results'!A$282:D$641,2,FALSE)</f>
        <v>O7.a</v>
      </c>
      <c r="E309" s="14">
        <f>AVERAGE(C309:C311)</f>
        <v>29.970240910847981</v>
      </c>
      <c r="F309">
        <f>_xlfn.STDEV.P(C309:C311)</f>
        <v>0.1175974567574823</v>
      </c>
    </row>
    <row r="310" spans="1:6" ht="14.25" x14ac:dyDescent="0.2">
      <c r="A310" s="8" t="s">
        <v>362</v>
      </c>
      <c r="B310" s="6">
        <f>VLOOKUP(A310,'Exported Results'!A$282:D708,4,FALSE)</f>
        <v>29.884620666503906</v>
      </c>
      <c r="C310" s="6">
        <f t="shared" si="4"/>
        <v>29.884620666503906</v>
      </c>
      <c r="D310" s="3" t="str">
        <f>VLOOKUP(A310,'Exported Results'!A$282:D$641,2,FALSE)</f>
        <v>O7.b</v>
      </c>
    </row>
    <row r="311" spans="1:6" ht="14.25" x14ac:dyDescent="0.2">
      <c r="A311" s="8" t="s">
        <v>363</v>
      </c>
      <c r="B311" s="6">
        <f>VLOOKUP(A311,'Exported Results'!A$282:D709,4,FALSE)</f>
        <v>29.889577865600586</v>
      </c>
      <c r="C311" s="6">
        <f t="shared" si="4"/>
        <v>29.889577865600586</v>
      </c>
      <c r="D311" s="3" t="str">
        <f>VLOOKUP(A311,'Exported Results'!A$282:D$641,2,FALSE)</f>
        <v>O7.c</v>
      </c>
    </row>
    <row r="312" spans="1:6" ht="14.25" x14ac:dyDescent="0.2">
      <c r="A312" s="8" t="s">
        <v>364</v>
      </c>
      <c r="B312" s="6">
        <f>VLOOKUP(A312,'Exported Results'!A$282:D710,4,FALSE)</f>
        <v>29.486026763916016</v>
      </c>
      <c r="C312" s="6">
        <f t="shared" si="4"/>
        <v>29.486026763916016</v>
      </c>
      <c r="D312" s="3" t="str">
        <f>VLOOKUP(A312,'Exported Results'!A$282:D$641,2,FALSE)</f>
        <v>O8.a</v>
      </c>
      <c r="E312" s="14">
        <f>AVERAGE(C312:C314)</f>
        <v>29.419541676839192</v>
      </c>
      <c r="F312">
        <f>_xlfn.STDEV.P(C312:C314)</f>
        <v>5.1445109021406588E-2</v>
      </c>
    </row>
    <row r="313" spans="1:6" ht="14.25" x14ac:dyDescent="0.2">
      <c r="A313" s="8" t="s">
        <v>365</v>
      </c>
      <c r="B313" s="6">
        <f>VLOOKUP(A313,'Exported Results'!A$282:D711,4,FALSE)</f>
        <v>29.411886215209961</v>
      </c>
      <c r="C313" s="6">
        <f t="shared" si="4"/>
        <v>29.411886215209961</v>
      </c>
      <c r="D313" s="3" t="str">
        <f>VLOOKUP(A313,'Exported Results'!A$282:D$641,2,FALSE)</f>
        <v>O8.b</v>
      </c>
    </row>
    <row r="314" spans="1:6" ht="14.25" x14ac:dyDescent="0.2">
      <c r="A314" s="8" t="s">
        <v>366</v>
      </c>
      <c r="B314" s="6">
        <f>VLOOKUP(A314,'Exported Results'!A$282:D712,4,FALSE)</f>
        <v>29.360712051391602</v>
      </c>
      <c r="C314" s="6">
        <f t="shared" si="4"/>
        <v>29.360712051391602</v>
      </c>
      <c r="D314" s="3" t="str">
        <f>VLOOKUP(A314,'Exported Results'!A$282:D$641,2,FALSE)</f>
        <v>O8.c</v>
      </c>
    </row>
    <row r="315" spans="1:6" ht="14.25" x14ac:dyDescent="0.2">
      <c r="A315" s="8" t="s">
        <v>367</v>
      </c>
      <c r="B315" s="6">
        <f>VLOOKUP(A315,'Exported Results'!A$282:D713,4,FALSE)</f>
        <v>29.742483139038086</v>
      </c>
      <c r="C315" s="6">
        <f t="shared" si="4"/>
        <v>29.742483139038086</v>
      </c>
      <c r="D315" s="3" t="str">
        <f>VLOOKUP(A315,'Exported Results'!A$282:D$641,2,FALSE)</f>
        <v>O9.a</v>
      </c>
      <c r="E315" s="14">
        <f>AVERAGE(C315:C317)</f>
        <v>29.83738899230957</v>
      </c>
      <c r="F315">
        <f>_xlfn.STDEV.P(C315:C317)</f>
        <v>0.11805585799000012</v>
      </c>
    </row>
    <row r="316" spans="1:6" ht="14.25" x14ac:dyDescent="0.2">
      <c r="A316" s="8" t="s">
        <v>368</v>
      </c>
      <c r="B316" s="6">
        <f>VLOOKUP(A316,'Exported Results'!A$282:D714,4,FALSE)</f>
        <v>29.765886306762695</v>
      </c>
      <c r="C316" s="6">
        <f t="shared" si="4"/>
        <v>29.765886306762695</v>
      </c>
      <c r="D316" s="3" t="str">
        <f>VLOOKUP(A316,'Exported Results'!A$282:D$641,2,FALSE)</f>
        <v>O9.b</v>
      </c>
    </row>
    <row r="317" spans="1:6" ht="14.25" x14ac:dyDescent="0.2">
      <c r="A317" s="8" t="s">
        <v>369</v>
      </c>
      <c r="B317" s="6">
        <f>VLOOKUP(A317,'Exported Results'!A$282:D715,4,FALSE)</f>
        <v>30.00379753112793</v>
      </c>
      <c r="C317" s="6">
        <f t="shared" si="4"/>
        <v>30.00379753112793</v>
      </c>
      <c r="D317" s="3" t="str">
        <f>VLOOKUP(A317,'Exported Results'!A$282:D$641,2,FALSE)</f>
        <v>O9.c</v>
      </c>
    </row>
    <row r="318" spans="1:6" ht="14.25" x14ac:dyDescent="0.2">
      <c r="A318" s="8" t="s">
        <v>370</v>
      </c>
      <c r="B318" s="6">
        <f>VLOOKUP(A318,'Exported Results'!A$282:D716,4,FALSE)</f>
        <v>29.73271369934082</v>
      </c>
      <c r="C318" s="6">
        <f t="shared" si="4"/>
        <v>29.73271369934082</v>
      </c>
      <c r="D318" s="3" t="str">
        <f>VLOOKUP(A318,'Exported Results'!A$282:D$641,2,FALSE)</f>
        <v>P1.a</v>
      </c>
      <c r="E318" s="14">
        <f>AVERAGE(C318:C320)</f>
        <v>29.874583562215168</v>
      </c>
      <c r="F318">
        <f>_xlfn.STDEV.P(C318:C320)</f>
        <v>0.12737052240285601</v>
      </c>
    </row>
    <row r="319" spans="1:6" ht="14.25" x14ac:dyDescent="0.2">
      <c r="A319" s="8" t="s">
        <v>371</v>
      </c>
      <c r="B319" s="6">
        <f>VLOOKUP(A319,'Exported Results'!A$282:D717,4,FALSE)</f>
        <v>30.041641235351563</v>
      </c>
      <c r="C319" s="6">
        <f t="shared" si="4"/>
        <v>30.041641235351563</v>
      </c>
      <c r="D319" s="3" t="str">
        <f>VLOOKUP(A319,'Exported Results'!A$282:D$641,2,FALSE)</f>
        <v>P1.b</v>
      </c>
    </row>
    <row r="320" spans="1:6" ht="14.25" x14ac:dyDescent="0.2">
      <c r="A320" s="8" t="s">
        <v>372</v>
      </c>
      <c r="B320" s="6">
        <f>VLOOKUP(A320,'Exported Results'!A$282:D718,4,FALSE)</f>
        <v>29.849395751953125</v>
      </c>
      <c r="C320" s="6">
        <f t="shared" si="4"/>
        <v>29.849395751953125</v>
      </c>
      <c r="D320" s="3" t="str">
        <f>VLOOKUP(A320,'Exported Results'!A$282:D$641,2,FALSE)</f>
        <v>P1.c</v>
      </c>
    </row>
    <row r="321" spans="1:6" ht="14.25" x14ac:dyDescent="0.2">
      <c r="A321" s="8" t="s">
        <v>373</v>
      </c>
      <c r="B321" s="6">
        <f>VLOOKUP(A321,'Exported Results'!A$282:D719,4,FALSE)</f>
        <v>29.967319488525391</v>
      </c>
      <c r="C321" s="6">
        <f t="shared" si="4"/>
        <v>29.967319488525391</v>
      </c>
      <c r="D321" s="3" t="str">
        <f>VLOOKUP(A321,'Exported Results'!A$282:D$641,2,FALSE)</f>
        <v>P2.a</v>
      </c>
      <c r="E321" s="14">
        <f>AVERAGE(C321:C323)</f>
        <v>29.855161666870117</v>
      </c>
      <c r="F321">
        <f>_xlfn.STDEV.P(C321:C323)</f>
        <v>0.14362897657582899</v>
      </c>
    </row>
    <row r="322" spans="1:6" ht="14.25" x14ac:dyDescent="0.2">
      <c r="A322" s="8" t="s">
        <v>374</v>
      </c>
      <c r="B322" s="6">
        <f>VLOOKUP(A322,'Exported Results'!A$282:D720,4,FALSE)</f>
        <v>29.945743560791016</v>
      </c>
      <c r="C322" s="6">
        <f t="shared" si="4"/>
        <v>29.945743560791016</v>
      </c>
      <c r="D322" s="3" t="str">
        <f>VLOOKUP(A322,'Exported Results'!A$282:D$641,2,FALSE)</f>
        <v>P2.b</v>
      </c>
    </row>
    <row r="323" spans="1:6" ht="14.25" x14ac:dyDescent="0.2">
      <c r="A323" s="8" t="s">
        <v>375</v>
      </c>
      <c r="B323" s="6">
        <f>VLOOKUP(A323,'Exported Results'!A$282:D721,4,FALSE)</f>
        <v>29.652421951293945</v>
      </c>
      <c r="C323" s="6">
        <f t="shared" ref="C323:C362" si="5">IF(B323="Undetermined",40.1,B323)</f>
        <v>29.652421951293945</v>
      </c>
      <c r="D323" s="3" t="str">
        <f>VLOOKUP(A323,'Exported Results'!A$282:D$641,2,FALSE)</f>
        <v>P2.c</v>
      </c>
    </row>
    <row r="324" spans="1:6" ht="14.25" x14ac:dyDescent="0.2">
      <c r="A324" s="8" t="s">
        <v>376</v>
      </c>
      <c r="B324" s="6">
        <f>VLOOKUP(A324,'Exported Results'!A$282:D722,4,FALSE)</f>
        <v>30.191143035888672</v>
      </c>
      <c r="C324" s="6">
        <f t="shared" si="5"/>
        <v>30.191143035888672</v>
      </c>
      <c r="D324" s="3" t="str">
        <f>VLOOKUP(A324,'Exported Results'!A$282:D$641,2,FALSE)</f>
        <v>P3.a</v>
      </c>
      <c r="E324" s="14">
        <f>AVERAGE(C324:C326)</f>
        <v>30.106113433837891</v>
      </c>
      <c r="F324">
        <f>_xlfn.STDEV.P(C324:C326)</f>
        <v>0.1256519598444264</v>
      </c>
    </row>
    <row r="325" spans="1:6" ht="14.25" x14ac:dyDescent="0.2">
      <c r="A325" s="8" t="s">
        <v>377</v>
      </c>
      <c r="B325" s="6">
        <f>VLOOKUP(A325,'Exported Results'!A$282:D723,4,FALSE)</f>
        <v>29.928468704223633</v>
      </c>
      <c r="C325" s="6">
        <f t="shared" si="5"/>
        <v>29.928468704223633</v>
      </c>
      <c r="D325" s="3" t="str">
        <f>VLOOKUP(A325,'Exported Results'!A$282:D$641,2,FALSE)</f>
        <v>P3.b</v>
      </c>
    </row>
    <row r="326" spans="1:6" ht="14.25" x14ac:dyDescent="0.2">
      <c r="A326" s="8" t="s">
        <v>378</v>
      </c>
      <c r="B326" s="6">
        <f>VLOOKUP(A326,'Exported Results'!A$282:D724,4,FALSE)</f>
        <v>30.198728561401367</v>
      </c>
      <c r="C326" s="6">
        <f t="shared" si="5"/>
        <v>30.198728561401367</v>
      </c>
      <c r="D326" s="3" t="str">
        <f>VLOOKUP(A326,'Exported Results'!A$282:D$641,2,FALSE)</f>
        <v>P3.c</v>
      </c>
    </row>
    <row r="327" spans="1:6" ht="14.25" x14ac:dyDescent="0.2">
      <c r="A327" s="8" t="s">
        <v>379</v>
      </c>
      <c r="B327" s="6">
        <f>VLOOKUP(A327,'Exported Results'!A$282:D725,4,FALSE)</f>
        <v>30.117006301879883</v>
      </c>
      <c r="C327" s="6">
        <f t="shared" si="5"/>
        <v>30.117006301879883</v>
      </c>
      <c r="D327" s="3" t="str">
        <f>VLOOKUP(A327,'Exported Results'!A$282:D$641,2,FALSE)</f>
        <v>P4.a</v>
      </c>
      <c r="E327" s="14">
        <f>AVERAGE(C327:C329)</f>
        <v>30.021334330240887</v>
      </c>
      <c r="F327">
        <f>_xlfn.STDEV.P(C327:C329)</f>
        <v>0.10295175239953719</v>
      </c>
    </row>
    <row r="328" spans="1:6" ht="14.25" x14ac:dyDescent="0.2">
      <c r="A328" s="8" t="s">
        <v>380</v>
      </c>
      <c r="B328" s="6">
        <f>VLOOKUP(A328,'Exported Results'!A$282:D726,4,FALSE)</f>
        <v>30.068544387817383</v>
      </c>
      <c r="C328" s="6">
        <f t="shared" si="5"/>
        <v>30.068544387817383</v>
      </c>
      <c r="D328" s="3" t="str">
        <f>VLOOKUP(A328,'Exported Results'!A$282:D$641,2,FALSE)</f>
        <v>P4.b</v>
      </c>
    </row>
    <row r="329" spans="1:6" ht="14.25" x14ac:dyDescent="0.2">
      <c r="A329" s="8" t="s">
        <v>381</v>
      </c>
      <c r="B329" s="6">
        <f>VLOOKUP(A329,'Exported Results'!A$282:D727,4,FALSE)</f>
        <v>29.878452301025391</v>
      </c>
      <c r="C329" s="6">
        <f t="shared" si="5"/>
        <v>29.878452301025391</v>
      </c>
      <c r="D329" s="3" t="str">
        <f>VLOOKUP(A329,'Exported Results'!A$282:D$641,2,FALSE)</f>
        <v>P4.c</v>
      </c>
    </row>
    <row r="330" spans="1:6" ht="14.25" x14ac:dyDescent="0.2">
      <c r="A330" s="8" t="s">
        <v>382</v>
      </c>
      <c r="B330" s="6">
        <f>VLOOKUP(A330,'Exported Results'!A$282:D728,4,FALSE)</f>
        <v>29.645999908447266</v>
      </c>
      <c r="C330" s="6">
        <f t="shared" si="5"/>
        <v>29.645999908447266</v>
      </c>
      <c r="D330" s="3" t="str">
        <f>VLOOKUP(A330,'Exported Results'!A$282:D$641,2,FALSE)</f>
        <v>P5.a</v>
      </c>
      <c r="E330" s="14">
        <f>AVERAGE(C330:C332)</f>
        <v>29.630572001139324</v>
      </c>
      <c r="F330">
        <f>_xlfn.STDEV.P(C330:C332)</f>
        <v>5.048882162060165E-2</v>
      </c>
    </row>
    <row r="331" spans="1:6" ht="14.25" x14ac:dyDescent="0.2">
      <c r="A331" s="8" t="s">
        <v>383</v>
      </c>
      <c r="B331" s="6">
        <f>VLOOKUP(A331,'Exported Results'!A$282:D729,4,FALSE)</f>
        <v>29.683233261108398</v>
      </c>
      <c r="C331" s="6">
        <f t="shared" si="5"/>
        <v>29.683233261108398</v>
      </c>
      <c r="D331" s="3" t="str">
        <f>VLOOKUP(A331,'Exported Results'!A$282:D$641,2,FALSE)</f>
        <v>P5.b</v>
      </c>
    </row>
    <row r="332" spans="1:6" ht="14.25" x14ac:dyDescent="0.2">
      <c r="A332" s="8" t="s">
        <v>384</v>
      </c>
      <c r="B332" s="6">
        <f>VLOOKUP(A332,'Exported Results'!A$282:D730,4,FALSE)</f>
        <v>29.562482833862305</v>
      </c>
      <c r="C332" s="6">
        <f t="shared" si="5"/>
        <v>29.562482833862305</v>
      </c>
      <c r="D332" s="3" t="str">
        <f>VLOOKUP(A332,'Exported Results'!A$282:D$641,2,FALSE)</f>
        <v>P5.c</v>
      </c>
    </row>
    <row r="333" spans="1:6" ht="14.25" x14ac:dyDescent="0.2">
      <c r="A333" s="8" t="s">
        <v>385</v>
      </c>
      <c r="B333" s="6">
        <f>VLOOKUP(A333,'Exported Results'!A$282:D731,4,FALSE)</f>
        <v>29.764236450195313</v>
      </c>
      <c r="C333" s="6">
        <f t="shared" si="5"/>
        <v>29.764236450195313</v>
      </c>
      <c r="D333" s="3" t="str">
        <f>VLOOKUP(A333,'Exported Results'!A$282:D$641,2,FALSE)</f>
        <v>P6.a</v>
      </c>
      <c r="E333" s="14">
        <f>AVERAGE(C333:C335)</f>
        <v>29.819915771484375</v>
      </c>
      <c r="F333">
        <f>_xlfn.STDEV.P(C333:C335)</f>
        <v>0.10072234258838061</v>
      </c>
    </row>
    <row r="334" spans="1:6" ht="14.25" x14ac:dyDescent="0.2">
      <c r="A334" s="8" t="s">
        <v>386</v>
      </c>
      <c r="B334" s="6">
        <f>VLOOKUP(A334,'Exported Results'!A$282:D732,4,FALSE)</f>
        <v>29.734210968017578</v>
      </c>
      <c r="C334" s="6">
        <f t="shared" si="5"/>
        <v>29.734210968017578</v>
      </c>
      <c r="D334" s="3" t="str">
        <f>VLOOKUP(A334,'Exported Results'!A$282:D$641,2,FALSE)</f>
        <v>P6.b</v>
      </c>
    </row>
    <row r="335" spans="1:6" ht="14.25" x14ac:dyDescent="0.2">
      <c r="A335" s="8" t="s">
        <v>387</v>
      </c>
      <c r="B335" s="6">
        <f>VLOOKUP(A335,'Exported Results'!A$282:D733,4,FALSE)</f>
        <v>29.961299896240234</v>
      </c>
      <c r="C335" s="6">
        <f t="shared" si="5"/>
        <v>29.961299896240234</v>
      </c>
      <c r="D335" s="3" t="str">
        <f>VLOOKUP(A335,'Exported Results'!A$282:D$641,2,FALSE)</f>
        <v>P6.c</v>
      </c>
    </row>
    <row r="336" spans="1:6" ht="14.25" x14ac:dyDescent="0.2">
      <c r="A336" s="8" t="s">
        <v>388</v>
      </c>
      <c r="B336" s="6">
        <f>VLOOKUP(A336,'Exported Results'!A$282:D734,4,FALSE)</f>
        <v>29.912971496582031</v>
      </c>
      <c r="C336" s="6">
        <f t="shared" si="5"/>
        <v>29.912971496582031</v>
      </c>
      <c r="D336" s="3" t="str">
        <f>VLOOKUP(A336,'Exported Results'!A$282:D$641,2,FALSE)</f>
        <v>P7.a</v>
      </c>
      <c r="E336" s="14">
        <f>AVERAGE(C336:C338)</f>
        <v>29.877990086873371</v>
      </c>
      <c r="F336">
        <f>_xlfn.STDEV.P(C336:C338)</f>
        <v>7.950720109164254E-2</v>
      </c>
    </row>
    <row r="337" spans="1:6" ht="14.25" x14ac:dyDescent="0.2">
      <c r="A337" s="8" t="s">
        <v>389</v>
      </c>
      <c r="B337" s="6">
        <f>VLOOKUP(A337,'Exported Results'!A$282:D735,4,FALSE)</f>
        <v>29.767955780029297</v>
      </c>
      <c r="C337" s="6">
        <f t="shared" si="5"/>
        <v>29.767955780029297</v>
      </c>
      <c r="D337" s="3" t="str">
        <f>VLOOKUP(A337,'Exported Results'!A$282:D$641,2,FALSE)</f>
        <v>P7.b</v>
      </c>
    </row>
    <row r="338" spans="1:6" ht="14.25" x14ac:dyDescent="0.2">
      <c r="A338" s="8" t="s">
        <v>390</v>
      </c>
      <c r="B338" s="6">
        <f>VLOOKUP(A338,'Exported Results'!A$282:D736,4,FALSE)</f>
        <v>29.953042984008789</v>
      </c>
      <c r="C338" s="6">
        <f t="shared" si="5"/>
        <v>29.953042984008789</v>
      </c>
      <c r="D338" s="3" t="str">
        <f>VLOOKUP(A338,'Exported Results'!A$282:D$641,2,FALSE)</f>
        <v>P7.c</v>
      </c>
    </row>
    <row r="339" spans="1:6" ht="14.25" x14ac:dyDescent="0.2">
      <c r="A339" s="8" t="s">
        <v>391</v>
      </c>
      <c r="B339" s="6">
        <f>VLOOKUP(A339,'Exported Results'!A$282:D737,4,FALSE)</f>
        <v>29.766740798950195</v>
      </c>
      <c r="C339" s="6">
        <f t="shared" si="5"/>
        <v>29.766740798950195</v>
      </c>
      <c r="D339" s="3" t="str">
        <f>VLOOKUP(A339,'Exported Results'!A$282:D$641,2,FALSE)</f>
        <v>P8.a</v>
      </c>
      <c r="E339" s="14">
        <f>AVERAGE(C339:C341)</f>
        <v>29.701754252115887</v>
      </c>
      <c r="F339">
        <f>_xlfn.STDEV.P(C339:C341)</f>
        <v>8.9600452015236601E-2</v>
      </c>
    </row>
    <row r="340" spans="1:6" ht="14.25" x14ac:dyDescent="0.2">
      <c r="A340" s="8" t="s">
        <v>392</v>
      </c>
      <c r="B340" s="6">
        <f>VLOOKUP(A340,'Exported Results'!A$282:D738,4,FALSE)</f>
        <v>29.575054168701172</v>
      </c>
      <c r="C340" s="6">
        <f t="shared" si="5"/>
        <v>29.575054168701172</v>
      </c>
      <c r="D340" s="3" t="str">
        <f>VLOOKUP(A340,'Exported Results'!A$282:D$641,2,FALSE)</f>
        <v>P8.b</v>
      </c>
    </row>
    <row r="341" spans="1:6" ht="14.25" x14ac:dyDescent="0.2">
      <c r="A341" s="8" t="s">
        <v>393</v>
      </c>
      <c r="B341" s="6">
        <f>VLOOKUP(A341,'Exported Results'!A$282:D739,4,FALSE)</f>
        <v>29.763467788696289</v>
      </c>
      <c r="C341" s="6">
        <f t="shared" si="5"/>
        <v>29.763467788696289</v>
      </c>
      <c r="D341" s="3" t="str">
        <f>VLOOKUP(A341,'Exported Results'!A$282:D$641,2,FALSE)</f>
        <v>P8.c</v>
      </c>
    </row>
    <row r="342" spans="1:6" ht="14.25" x14ac:dyDescent="0.2">
      <c r="A342" s="8" t="s">
        <v>394</v>
      </c>
      <c r="B342" s="6">
        <f>VLOOKUP(A342,'Exported Results'!A$282:D740,4,FALSE)</f>
        <v>29.876031875610352</v>
      </c>
      <c r="C342" s="6">
        <f t="shared" si="5"/>
        <v>29.876031875610352</v>
      </c>
      <c r="D342" s="3" t="str">
        <f>VLOOKUP(A342,'Exported Results'!A$282:D$641,2,FALSE)</f>
        <v>P9.a</v>
      </c>
      <c r="E342" s="14">
        <f>AVERAGE(C342:C344)</f>
        <v>29.826853434244793</v>
      </c>
      <c r="F342">
        <f>_xlfn.STDEV.P(C342:C344)</f>
        <v>5.0899363342554932E-2</v>
      </c>
    </row>
    <row r="343" spans="1:6" ht="14.25" x14ac:dyDescent="0.2">
      <c r="A343" s="8" t="s">
        <v>395</v>
      </c>
      <c r="B343" s="6">
        <f>VLOOKUP(A343,'Exported Results'!A$282:D741,4,FALSE)</f>
        <v>29.847785949707031</v>
      </c>
      <c r="C343" s="6">
        <f t="shared" si="5"/>
        <v>29.847785949707031</v>
      </c>
      <c r="D343" s="3" t="str">
        <f>VLOOKUP(A343,'Exported Results'!A$282:D$641,2,FALSE)</f>
        <v>P9.b</v>
      </c>
    </row>
    <row r="344" spans="1:6" ht="14.25" x14ac:dyDescent="0.2">
      <c r="A344" s="8" t="s">
        <v>396</v>
      </c>
      <c r="B344" s="6">
        <f>VLOOKUP(A344,'Exported Results'!A$282:D742,4,FALSE)</f>
        <v>29.756742477416992</v>
      </c>
      <c r="C344" s="6">
        <f t="shared" si="5"/>
        <v>29.756742477416992</v>
      </c>
      <c r="D344" s="3" t="str">
        <f>VLOOKUP(A344,'Exported Results'!A$282:D$641,2,FALSE)</f>
        <v>P9.c</v>
      </c>
    </row>
    <row r="345" spans="1:6" ht="14.25" x14ac:dyDescent="0.2">
      <c r="A345" s="8" t="s">
        <v>397</v>
      </c>
      <c r="B345" s="6" t="str">
        <f>VLOOKUP(A345,'Exported Results'!A$282:D743,4,FALSE)</f>
        <v>Undetermined</v>
      </c>
      <c r="C345" s="6">
        <f t="shared" si="5"/>
        <v>40.1</v>
      </c>
      <c r="D345" s="3" t="str">
        <f>VLOOKUP(A345,'Exported Results'!A$282:D$641,2,FALSE)</f>
        <v/>
      </c>
      <c r="E345" s="14">
        <f>AVERAGE(C345:C347)</f>
        <v>40.1</v>
      </c>
      <c r="F345">
        <f>_xlfn.STDEV.P(C345:C347)</f>
        <v>0</v>
      </c>
    </row>
    <row r="346" spans="1:6" ht="14.25" x14ac:dyDescent="0.2">
      <c r="A346" s="8" t="s">
        <v>398</v>
      </c>
      <c r="B346" s="6" t="str">
        <f>VLOOKUP(A346,'Exported Results'!A$282:D744,4,FALSE)</f>
        <v>Undetermined</v>
      </c>
      <c r="C346" s="6">
        <f t="shared" si="5"/>
        <v>40.1</v>
      </c>
      <c r="D346" s="3" t="str">
        <f>VLOOKUP(A346,'Exported Results'!A$282:D$641,2,FALSE)</f>
        <v/>
      </c>
    </row>
    <row r="347" spans="1:6" ht="14.25" x14ac:dyDescent="0.2">
      <c r="A347" s="8" t="s">
        <v>399</v>
      </c>
      <c r="B347" s="6" t="str">
        <f>VLOOKUP(A347,'Exported Results'!A$282:D745,4,FALSE)</f>
        <v>Undetermined</v>
      </c>
      <c r="C347" s="6">
        <f t="shared" si="5"/>
        <v>40.1</v>
      </c>
      <c r="D347" s="3" t="str">
        <f>VLOOKUP(A347,'Exported Results'!A$282:D$641,2,FALSE)</f>
        <v/>
      </c>
    </row>
    <row r="348" spans="1:6" ht="14.25" x14ac:dyDescent="0.2">
      <c r="A348" s="8" t="s">
        <v>400</v>
      </c>
      <c r="B348" s="6" t="str">
        <f>VLOOKUP(A348,'Exported Results'!A$282:D746,4,FALSE)</f>
        <v>Undetermined</v>
      </c>
      <c r="C348" s="6">
        <f t="shared" si="5"/>
        <v>40.1</v>
      </c>
      <c r="D348" s="3" t="str">
        <f>VLOOKUP(A348,'Exported Results'!A$282:D$641,2,FALSE)</f>
        <v/>
      </c>
      <c r="E348" s="14">
        <f>AVERAGE(C348:C350)</f>
        <v>40.1</v>
      </c>
      <c r="F348">
        <f>_xlfn.STDEV.P(C348:C350)</f>
        <v>0</v>
      </c>
    </row>
    <row r="349" spans="1:6" ht="14.25" x14ac:dyDescent="0.2">
      <c r="A349" s="8" t="s">
        <v>401</v>
      </c>
      <c r="B349" s="6" t="str">
        <f>VLOOKUP(A349,'Exported Results'!A$282:D747,4,FALSE)</f>
        <v>Undetermined</v>
      </c>
      <c r="C349" s="6">
        <f t="shared" si="5"/>
        <v>40.1</v>
      </c>
      <c r="D349" s="3" t="str">
        <f>VLOOKUP(A349,'Exported Results'!A$282:D$641,2,FALSE)</f>
        <v/>
      </c>
    </row>
    <row r="350" spans="1:6" ht="14.25" x14ac:dyDescent="0.2">
      <c r="A350" s="8" t="s">
        <v>402</v>
      </c>
      <c r="B350" s="6" t="str">
        <f>VLOOKUP(A350,'Exported Results'!A$282:D748,4,FALSE)</f>
        <v>Undetermined</v>
      </c>
      <c r="C350" s="6">
        <f t="shared" si="5"/>
        <v>40.1</v>
      </c>
      <c r="D350" s="3" t="str">
        <f>VLOOKUP(A350,'Exported Results'!A$282:D$641,2,FALSE)</f>
        <v/>
      </c>
    </row>
    <row r="351" spans="1:6" ht="14.25" x14ac:dyDescent="0.2">
      <c r="A351" s="8" t="s">
        <v>403</v>
      </c>
      <c r="B351" s="6" t="str">
        <f>VLOOKUP(A351,'Exported Results'!A$282:D749,4,FALSE)</f>
        <v>Undetermined</v>
      </c>
      <c r="C351" s="6">
        <f t="shared" si="5"/>
        <v>40.1</v>
      </c>
      <c r="D351" s="3" t="str">
        <f>VLOOKUP(A351,'Exported Results'!A$282:D$641,2,FALSE)</f>
        <v/>
      </c>
      <c r="E351" s="14">
        <f>AVERAGE(C351:C353)</f>
        <v>40.1</v>
      </c>
      <c r="F351">
        <f>_xlfn.STDEV.P(C351:C353)</f>
        <v>0</v>
      </c>
    </row>
    <row r="352" spans="1:6" ht="14.25" x14ac:dyDescent="0.2">
      <c r="A352" s="8" t="s">
        <v>404</v>
      </c>
      <c r="B352" s="6" t="str">
        <f>VLOOKUP(A352,'Exported Results'!A$282:D750,4,FALSE)</f>
        <v>Undetermined</v>
      </c>
      <c r="C352" s="6">
        <f t="shared" si="5"/>
        <v>40.1</v>
      </c>
      <c r="D352" s="3" t="str">
        <f>VLOOKUP(A352,'Exported Results'!A$282:D$641,2,FALSE)</f>
        <v/>
      </c>
    </row>
    <row r="353" spans="1:6" ht="14.25" x14ac:dyDescent="0.2">
      <c r="A353" s="8" t="s">
        <v>405</v>
      </c>
      <c r="B353" s="6" t="str">
        <f>VLOOKUP(A353,'Exported Results'!A$282:D751,4,FALSE)</f>
        <v>Undetermined</v>
      </c>
      <c r="C353" s="6">
        <f t="shared" si="5"/>
        <v>40.1</v>
      </c>
      <c r="D353" s="3" t="str">
        <f>VLOOKUP(A353,'Exported Results'!A$282:D$641,2,FALSE)</f>
        <v/>
      </c>
    </row>
    <row r="354" spans="1:6" ht="14.25" x14ac:dyDescent="0.2">
      <c r="A354" s="8" t="s">
        <v>406</v>
      </c>
      <c r="B354" s="6" t="str">
        <f>VLOOKUP(A354,'Exported Results'!A$282:D752,4,FALSE)</f>
        <v>Undetermined</v>
      </c>
      <c r="C354" s="6">
        <f t="shared" si="5"/>
        <v>40.1</v>
      </c>
      <c r="D354" s="3" t="str">
        <f>VLOOKUP(A354,'Exported Results'!A$282:D$641,2,FALSE)</f>
        <v/>
      </c>
      <c r="E354" s="14">
        <f>AVERAGE(C354:C356)</f>
        <v>40.1</v>
      </c>
      <c r="F354">
        <f>_xlfn.STDEV.P(C354:C356)</f>
        <v>0</v>
      </c>
    </row>
    <row r="355" spans="1:6" ht="14.25" x14ac:dyDescent="0.2">
      <c r="A355" s="8" t="s">
        <v>407</v>
      </c>
      <c r="B355" s="6" t="str">
        <f>VLOOKUP(A355,'Exported Results'!A$282:D753,4,FALSE)</f>
        <v>Undetermined</v>
      </c>
      <c r="C355" s="6">
        <f t="shared" si="5"/>
        <v>40.1</v>
      </c>
      <c r="D355" s="3" t="str">
        <f>VLOOKUP(A355,'Exported Results'!A$282:D$641,2,FALSE)</f>
        <v/>
      </c>
    </row>
    <row r="356" spans="1:6" ht="14.25" x14ac:dyDescent="0.2">
      <c r="A356" s="8" t="s">
        <v>408</v>
      </c>
      <c r="B356" s="6" t="str">
        <f>VLOOKUP(A356,'Exported Results'!A$282:D754,4,FALSE)</f>
        <v>Undetermined</v>
      </c>
      <c r="C356" s="6">
        <f t="shared" si="5"/>
        <v>40.1</v>
      </c>
      <c r="D356" s="3" t="str">
        <f>VLOOKUP(A356,'Exported Results'!A$282:D$641,2,FALSE)</f>
        <v/>
      </c>
    </row>
    <row r="357" spans="1:6" ht="14.25" x14ac:dyDescent="0.2">
      <c r="A357" s="8" t="s">
        <v>409</v>
      </c>
      <c r="B357" s="6" t="str">
        <f>VLOOKUP(A357,'Exported Results'!A$282:D755,4,FALSE)</f>
        <v>Undetermined</v>
      </c>
      <c r="C357" s="6">
        <f t="shared" si="5"/>
        <v>40.1</v>
      </c>
      <c r="D357" s="3" t="str">
        <f>VLOOKUP(A357,'Exported Results'!A$282:D$641,2,FALSE)</f>
        <v/>
      </c>
      <c r="E357" s="14">
        <f>AVERAGE(C357:C359)</f>
        <v>40.1</v>
      </c>
      <c r="F357">
        <f>_xlfn.STDEV.P(C357:C359)</f>
        <v>0</v>
      </c>
    </row>
    <row r="358" spans="1:6" ht="14.25" x14ac:dyDescent="0.2">
      <c r="A358" s="8" t="s">
        <v>410</v>
      </c>
      <c r="B358" s="6" t="str">
        <f>VLOOKUP(A358,'Exported Results'!A$282:D756,4,FALSE)</f>
        <v>Undetermined</v>
      </c>
      <c r="C358" s="6">
        <f t="shared" si="5"/>
        <v>40.1</v>
      </c>
      <c r="D358" s="3" t="str">
        <f>VLOOKUP(A358,'Exported Results'!A$282:D$641,2,FALSE)</f>
        <v/>
      </c>
    </row>
    <row r="359" spans="1:6" ht="14.25" x14ac:dyDescent="0.2">
      <c r="A359" s="8" t="s">
        <v>411</v>
      </c>
      <c r="B359" s="6" t="str">
        <f>VLOOKUP(A359,'Exported Results'!A$282:D757,4,FALSE)</f>
        <v>Undetermined</v>
      </c>
      <c r="C359" s="6">
        <f t="shared" si="5"/>
        <v>40.1</v>
      </c>
      <c r="D359" s="3" t="str">
        <f>VLOOKUP(A359,'Exported Results'!A$282:D$641,2,FALSE)</f>
        <v/>
      </c>
    </row>
    <row r="360" spans="1:6" ht="14.25" x14ac:dyDescent="0.2">
      <c r="A360" s="8" t="s">
        <v>412</v>
      </c>
      <c r="B360" s="6" t="str">
        <f>VLOOKUP(A360,'Exported Results'!A$282:D758,4,FALSE)</f>
        <v>Undetermined</v>
      </c>
      <c r="C360" s="6">
        <f t="shared" si="5"/>
        <v>40.1</v>
      </c>
      <c r="D360" s="3" t="str">
        <f>VLOOKUP(A360,'Exported Results'!A$282:D$641,2,FALSE)</f>
        <v/>
      </c>
      <c r="E360" s="14">
        <f>AVERAGE(C360:C362)</f>
        <v>40.1</v>
      </c>
      <c r="F360">
        <f>_xlfn.STDEV.P(C360:C362)</f>
        <v>0</v>
      </c>
    </row>
    <row r="361" spans="1:6" ht="14.25" x14ac:dyDescent="0.2">
      <c r="A361" s="8" t="s">
        <v>413</v>
      </c>
      <c r="B361" s="6" t="str">
        <f>VLOOKUP(A361,'Exported Results'!A$282:D759,4,FALSE)</f>
        <v>Undetermined</v>
      </c>
      <c r="C361" s="6">
        <f t="shared" si="5"/>
        <v>40.1</v>
      </c>
      <c r="D361" s="3" t="str">
        <f>VLOOKUP(A361,'Exported Results'!A$282:D$641,2,FALSE)</f>
        <v/>
      </c>
    </row>
    <row r="362" spans="1:6" ht="14.25" x14ac:dyDescent="0.2">
      <c r="A362" s="8" t="s">
        <v>414</v>
      </c>
      <c r="B362" s="6" t="str">
        <f>VLOOKUP(A362,'Exported Results'!A$282:D760,4,FALSE)</f>
        <v>Undetermined</v>
      </c>
      <c r="C362" s="6">
        <f t="shared" si="5"/>
        <v>40.1</v>
      </c>
      <c r="D362" s="3" t="str">
        <f>VLOOKUP(A362,'Exported Results'!A$282:D$641,2,FALSE)</f>
        <v/>
      </c>
    </row>
    <row r="363" spans="1:6" ht="14.25" x14ac:dyDescent="0.2">
      <c r="B363" s="6"/>
      <c r="C363" s="6"/>
      <c r="E363" s="14"/>
    </row>
    <row r="364" spans="1:6" ht="14.25" x14ac:dyDescent="0.2">
      <c r="B364" s="6"/>
      <c r="C364" s="6"/>
    </row>
    <row r="365" spans="1:6" ht="14.25" x14ac:dyDescent="0.2">
      <c r="B365" s="6"/>
      <c r="C365" s="6"/>
    </row>
    <row r="366" spans="1:6" ht="14.25" x14ac:dyDescent="0.2">
      <c r="B366" s="6"/>
      <c r="C366" s="6"/>
      <c r="E366" s="14"/>
    </row>
    <row r="367" spans="1:6" ht="14.25" x14ac:dyDescent="0.2">
      <c r="B367" s="6"/>
      <c r="C367" s="6"/>
    </row>
    <row r="368" spans="1:6" ht="14.25" x14ac:dyDescent="0.2">
      <c r="B368" s="6"/>
      <c r="C368" s="6"/>
    </row>
    <row r="369" spans="2:5" ht="14.25" x14ac:dyDescent="0.2">
      <c r="B369" s="6"/>
      <c r="C369" s="6"/>
      <c r="E369" s="14"/>
    </row>
    <row r="370" spans="2:5" ht="14.25" x14ac:dyDescent="0.2">
      <c r="B370" s="6"/>
      <c r="C370" s="6"/>
    </row>
    <row r="371" spans="2:5" ht="14.25" x14ac:dyDescent="0.2">
      <c r="B371" s="6"/>
      <c r="C371" s="6"/>
    </row>
    <row r="372" spans="2:5" ht="14.25" x14ac:dyDescent="0.2">
      <c r="B372" s="6"/>
      <c r="C372" s="6"/>
      <c r="E372" s="14"/>
    </row>
    <row r="373" spans="2:5" ht="14.25" x14ac:dyDescent="0.2">
      <c r="B373" s="6"/>
      <c r="C373" s="6"/>
    </row>
    <row r="374" spans="2:5" ht="14.25" x14ac:dyDescent="0.2">
      <c r="B374" s="6"/>
      <c r="C374" s="6"/>
    </row>
    <row r="375" spans="2:5" ht="14.25" x14ac:dyDescent="0.2">
      <c r="B375" s="6"/>
      <c r="C375" s="6"/>
      <c r="E375" s="14"/>
    </row>
    <row r="376" spans="2:5" ht="14.25" x14ac:dyDescent="0.2">
      <c r="B376" s="6"/>
      <c r="C376" s="6"/>
    </row>
    <row r="377" spans="2:5" ht="14.25" x14ac:dyDescent="0.2">
      <c r="B377" s="6"/>
      <c r="C377" s="6"/>
    </row>
    <row r="378" spans="2:5" ht="14.25" x14ac:dyDescent="0.2">
      <c r="B378" s="6"/>
      <c r="C378" s="6"/>
      <c r="E378" s="14"/>
    </row>
    <row r="379" spans="2:5" ht="14.25" x14ac:dyDescent="0.2">
      <c r="B379" s="6"/>
      <c r="C379" s="6"/>
    </row>
    <row r="380" spans="2:5" ht="14.25" x14ac:dyDescent="0.2">
      <c r="B380" s="6"/>
      <c r="C380" s="6"/>
    </row>
    <row r="381" spans="2:5" ht="14.25" x14ac:dyDescent="0.2">
      <c r="B381" s="6"/>
      <c r="C381" s="6"/>
      <c r="E381" s="14"/>
    </row>
    <row r="382" spans="2:5" ht="14.25" x14ac:dyDescent="0.2">
      <c r="B382" s="6"/>
      <c r="C382" s="6"/>
    </row>
    <row r="383" spans="2:5" ht="14.25" x14ac:dyDescent="0.2">
      <c r="B383" s="6"/>
      <c r="C383" s="6"/>
    </row>
    <row r="384" spans="2:5" ht="14.25" x14ac:dyDescent="0.2">
      <c r="B384" s="6"/>
      <c r="C384" s="6"/>
      <c r="E384" s="14"/>
    </row>
    <row r="385" spans="2:3" ht="14.25" x14ac:dyDescent="0.2">
      <c r="B385" s="6"/>
      <c r="C385" s="6"/>
    </row>
    <row r="386" spans="2:3" ht="14.25" x14ac:dyDescent="0.2">
      <c r="B386" s="6"/>
      <c r="C386" s="6"/>
    </row>
  </sheetData>
  <conditionalFormatting sqref="B3:B386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topLeftCell="A28" workbookViewId="0">
      <selection activeCell="J47" sqref="J47"/>
    </sheetView>
  </sheetViews>
  <sheetFormatPr defaultRowHeight="12.75" x14ac:dyDescent="0.2"/>
  <cols>
    <col min="1" max="1" width="11" customWidth="1"/>
    <col min="2" max="2" width="14.5703125" customWidth="1"/>
    <col min="3" max="5" width="11" customWidth="1"/>
    <col min="6" max="6" width="21.140625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>B33</f>
        <v>STD 10a</v>
      </c>
      <c r="B2">
        <f>C33</f>
        <v>26.454331715901692</v>
      </c>
      <c r="C2">
        <f>D33</f>
        <v>4.4736821409909984E-2</v>
      </c>
      <c r="D2" s="10">
        <f>C2/B2</f>
        <v>1.6910962594083861E-3</v>
      </c>
      <c r="E2">
        <v>0.1</v>
      </c>
      <c r="F2" s="9">
        <f>LOG(E2,10)</f>
        <v>-0.99999999999999978</v>
      </c>
    </row>
    <row r="3" spans="1:6" x14ac:dyDescent="0.2">
      <c r="A3" t="str">
        <f t="shared" ref="A3:B7" si="0">B34</f>
        <v>STD 20a</v>
      </c>
      <c r="B3">
        <f t="shared" si="0"/>
        <v>27.547679265340168</v>
      </c>
      <c r="C3">
        <f t="shared" ref="C3" si="1">D34</f>
        <v>4.2624888139695352E-2</v>
      </c>
      <c r="D3" s="10">
        <f t="shared" ref="D3:D7" si="2">C3/B3</f>
        <v>1.5473132139056434E-3</v>
      </c>
      <c r="E3">
        <v>0.05</v>
      </c>
      <c r="F3" s="9">
        <f t="shared" ref="F3:F7" si="3">LOG(E3,10)</f>
        <v>-1.301029995663981</v>
      </c>
    </row>
    <row r="4" spans="1:6" x14ac:dyDescent="0.2">
      <c r="A4" t="str">
        <f t="shared" si="0"/>
        <v>STD 40a</v>
      </c>
      <c r="B4">
        <f t="shared" si="0"/>
        <v>28.690064112345379</v>
      </c>
      <c r="C4">
        <f t="shared" ref="C4" si="4">D35</f>
        <v>0.10508603631830205</v>
      </c>
      <c r="D4" s="10">
        <f t="shared" si="2"/>
        <v>3.6628024220093452E-3</v>
      </c>
      <c r="E4">
        <v>2.5000000000000001E-2</v>
      </c>
      <c r="F4" s="9">
        <f t="shared" si="3"/>
        <v>-1.6020599913279623</v>
      </c>
    </row>
    <row r="5" spans="1:6" x14ac:dyDescent="0.2">
      <c r="A5" t="str">
        <f t="shared" si="0"/>
        <v>STD 80a</v>
      </c>
      <c r="B5">
        <f t="shared" si="0"/>
        <v>29.917539596557617</v>
      </c>
      <c r="C5">
        <f t="shared" ref="C5" si="5">D36</f>
        <v>9.7986949992719563E-2</v>
      </c>
      <c r="D5" s="10">
        <f t="shared" si="2"/>
        <v>3.2752342376441332E-3</v>
      </c>
      <c r="E5">
        <v>1.2500000000000001E-2</v>
      </c>
      <c r="F5" s="9">
        <f t="shared" si="3"/>
        <v>-1.9030899869919433</v>
      </c>
    </row>
    <row r="6" spans="1:6" x14ac:dyDescent="0.2">
      <c r="A6" t="str">
        <f t="shared" si="0"/>
        <v>STD 160a</v>
      </c>
      <c r="B6">
        <f t="shared" si="0"/>
        <v>31.090070088704426</v>
      </c>
      <c r="C6">
        <f t="shared" ref="C6" si="6">D37</f>
        <v>0.10216805276950401</v>
      </c>
      <c r="D6" s="10">
        <f t="shared" si="2"/>
        <v>3.2861956398941498E-3</v>
      </c>
      <c r="E6">
        <v>6.2500000000000003E-3</v>
      </c>
      <c r="F6" s="9">
        <f t="shared" si="3"/>
        <v>-2.2041199826559246</v>
      </c>
    </row>
    <row r="7" spans="1:6" x14ac:dyDescent="0.2">
      <c r="A7" t="str">
        <f t="shared" si="0"/>
        <v>STD 320a</v>
      </c>
      <c r="B7">
        <f t="shared" si="0"/>
        <v>32.32537841796875</v>
      </c>
      <c r="C7">
        <f t="shared" ref="C7" si="7">D38</f>
        <v>0.16444175025296623</v>
      </c>
      <c r="D7" s="10">
        <f t="shared" si="2"/>
        <v>5.0870788928354133E-3</v>
      </c>
      <c r="E7">
        <v>3.1250000000000002E-3</v>
      </c>
      <c r="F7" s="9">
        <f t="shared" si="3"/>
        <v>-2.5051499783199058</v>
      </c>
    </row>
    <row r="28" spans="1:7" x14ac:dyDescent="0.2">
      <c r="B28" s="3" t="s">
        <v>446</v>
      </c>
      <c r="C28">
        <f>SLOPE(B2:B7,F2:F7)</f>
        <v>-3.9113218006961881</v>
      </c>
    </row>
    <row r="29" spans="1:7" x14ac:dyDescent="0.2">
      <c r="B29" s="13" t="s">
        <v>447</v>
      </c>
      <c r="C29" s="13">
        <f>10^(-1/C28)</f>
        <v>1.8016401244170364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Workspace'!D3</f>
        <v>Blank 1.a</v>
      </c>
      <c r="C32" s="9">
        <f>'Results Workspace'!E3</f>
        <v>40.1</v>
      </c>
      <c r="D32" s="9">
        <f>'Results Workspace'!F3</f>
        <v>0</v>
      </c>
      <c r="E32" s="10">
        <f>D32/C32</f>
        <v>0</v>
      </c>
      <c r="F32" s="9">
        <f>$C$29^($B$3-C32)</f>
        <v>6.1769301691324511E-4</v>
      </c>
      <c r="G32" s="9"/>
    </row>
    <row r="33" spans="2:7" x14ac:dyDescent="0.2">
      <c r="B33" t="str">
        <f>'Results Workspace'!D6</f>
        <v>STD 10a</v>
      </c>
      <c r="C33" s="9">
        <f>'Results Workspace'!E6</f>
        <v>26.454331715901692</v>
      </c>
      <c r="D33" s="9">
        <f>'Results Workspace'!F6</f>
        <v>4.4736821409909984E-2</v>
      </c>
      <c r="E33" s="10">
        <f>D33/C33</f>
        <v>1.6910962594083861E-3</v>
      </c>
      <c r="F33" s="9">
        <f>$C$29^($B$3-C33)</f>
        <v>1.9034173820815643</v>
      </c>
      <c r="G33" s="9"/>
    </row>
    <row r="34" spans="2:7" x14ac:dyDescent="0.2">
      <c r="B34" t="str">
        <f>'Results Workspace'!D9</f>
        <v>STD 20a</v>
      </c>
      <c r="C34" s="9">
        <f>'Results Workspace'!E9</f>
        <v>27.547679265340168</v>
      </c>
      <c r="D34" s="9">
        <f>'Results Workspace'!F9</f>
        <v>4.2624888139695352E-2</v>
      </c>
      <c r="E34" s="10">
        <f>D34/C34</f>
        <v>1.5473132139056434E-3</v>
      </c>
      <c r="F34" s="9">
        <f>$C$29^($B$3-C34)</f>
        <v>1</v>
      </c>
      <c r="G34" s="9"/>
    </row>
    <row r="35" spans="2:7" x14ac:dyDescent="0.2">
      <c r="B35" t="str">
        <f>'Results Workspace'!D12</f>
        <v>STD 40a</v>
      </c>
      <c r="C35" s="9">
        <f>'Results Workspace'!E12</f>
        <v>28.690064112345379</v>
      </c>
      <c r="D35" s="9">
        <f>'Results Workspace'!F12</f>
        <v>0.10508603631830205</v>
      </c>
      <c r="E35" s="10">
        <f>D35/C35</f>
        <v>3.6628024220093452E-3</v>
      </c>
      <c r="F35" s="9">
        <f>$C$29^($B$3-C35)</f>
        <v>0.51042119385596607</v>
      </c>
      <c r="G35" s="9"/>
    </row>
    <row r="36" spans="2:7" x14ac:dyDescent="0.2">
      <c r="B36" t="str">
        <f>'Results Workspace'!D15</f>
        <v>STD 80a</v>
      </c>
      <c r="C36" s="9">
        <f>'Results Workspace'!E15</f>
        <v>29.917539596557617</v>
      </c>
      <c r="D36" s="9">
        <f>'Results Workspace'!F15</f>
        <v>9.7986949992719563E-2</v>
      </c>
      <c r="E36" s="10">
        <f>D36/C36</f>
        <v>3.2752342376441332E-3</v>
      </c>
      <c r="F36" s="9">
        <f>$C$29^($B$3-C36)</f>
        <v>0.2478006499112832</v>
      </c>
      <c r="G36" s="9"/>
    </row>
    <row r="37" spans="2:7" x14ac:dyDescent="0.2">
      <c r="B37" t="str">
        <f>'Results Workspace'!D18</f>
        <v>STD 160a</v>
      </c>
      <c r="C37" s="9">
        <f>'Results Workspace'!E18</f>
        <v>31.090070088704426</v>
      </c>
      <c r="D37" s="9">
        <f>'Results Workspace'!F18</f>
        <v>0.10216805276950401</v>
      </c>
      <c r="E37" s="10">
        <f t="shared" ref="E37:E45" si="8">D37/C37</f>
        <v>3.2861956398941498E-3</v>
      </c>
      <c r="F37" s="9">
        <f t="shared" ref="F37:F46" si="9">$C$29^($B$3-C37)</f>
        <v>0.12425785773277025</v>
      </c>
      <c r="G37" s="9"/>
    </row>
    <row r="38" spans="2:7" x14ac:dyDescent="0.2">
      <c r="B38" t="str">
        <f>'Results Workspace'!D21</f>
        <v>STD 320a</v>
      </c>
      <c r="C38" s="9">
        <f>'Results Workspace'!E21</f>
        <v>32.32537841796875</v>
      </c>
      <c r="D38" s="9">
        <f>'Results Workspace'!F21</f>
        <v>0.16444175025296623</v>
      </c>
      <c r="E38" s="10">
        <f t="shared" si="8"/>
        <v>5.0870788928354133E-3</v>
      </c>
      <c r="F38" s="9">
        <f t="shared" si="9"/>
        <v>6.0047508982090401E-2</v>
      </c>
      <c r="G38" s="9"/>
    </row>
    <row r="39" spans="2:7" x14ac:dyDescent="0.2">
      <c r="B39" t="str">
        <f>'Results Workspace'!D24</f>
        <v>C1.a</v>
      </c>
      <c r="C39" s="9">
        <f>'Results Workspace'!E24</f>
        <v>29.254168828328449</v>
      </c>
      <c r="D39" s="9">
        <f>'Results Workspace'!F24</f>
        <v>0.18840318636029685</v>
      </c>
      <c r="E39" s="10">
        <f t="shared" si="8"/>
        <v>6.4402166906842861E-3</v>
      </c>
      <c r="F39" s="9">
        <f t="shared" si="9"/>
        <v>0.36618887729916</v>
      </c>
      <c r="G39" s="9">
        <f>F39/'Housekeeper summary'!$E$4</f>
        <v>0.81270118480969833</v>
      </c>
    </row>
    <row r="40" spans="2:7" x14ac:dyDescent="0.2">
      <c r="B40" t="str">
        <f>'Results Workspace'!D27</f>
        <v>C2.a</v>
      </c>
      <c r="C40" s="9">
        <f>'Results Workspace'!E27</f>
        <v>29.466438293457031</v>
      </c>
      <c r="D40" s="9">
        <f>'Results Workspace'!F27</f>
        <v>0.29122821612623145</v>
      </c>
      <c r="E40" s="10">
        <f t="shared" si="8"/>
        <v>9.8833871004660283E-3</v>
      </c>
      <c r="F40" s="9">
        <f t="shared" si="9"/>
        <v>0.32317267239520708</v>
      </c>
      <c r="G40" s="9">
        <f>F40/'Housekeeper summary'!$E$4</f>
        <v>0.71723318220595156</v>
      </c>
    </row>
    <row r="41" spans="2:7" x14ac:dyDescent="0.2">
      <c r="B41" t="str">
        <f>'Results Workspace'!D30</f>
        <v>C3.a</v>
      </c>
      <c r="C41" s="9">
        <f>'Results Workspace'!E30</f>
        <v>29.179807027180988</v>
      </c>
      <c r="D41" s="9">
        <f>'Results Workspace'!F30</f>
        <v>0.11033024758679918</v>
      </c>
      <c r="E41" s="10">
        <f t="shared" si="8"/>
        <v>3.7810478830112401E-3</v>
      </c>
      <c r="F41" s="9">
        <f t="shared" si="9"/>
        <v>0.38257543891001472</v>
      </c>
      <c r="G41" s="9">
        <f>F41/'Housekeeper summary'!$E$4</f>
        <v>0.84906869584477285</v>
      </c>
    </row>
    <row r="42" spans="2:7" x14ac:dyDescent="0.2">
      <c r="B42" t="str">
        <f>'Results Workspace'!D33</f>
        <v>C4.a</v>
      </c>
      <c r="C42" s="9">
        <f>'Results Workspace'!E33</f>
        <v>29.146405220031738</v>
      </c>
      <c r="D42" s="9">
        <f>'Results Workspace'!F33</f>
        <v>0.12333011627197266</v>
      </c>
      <c r="E42" s="10">
        <f t="shared" si="8"/>
        <v>4.2314005909452716E-3</v>
      </c>
      <c r="F42" s="9">
        <f t="shared" si="9"/>
        <v>0.39017268288821561</v>
      </c>
      <c r="G42" s="9">
        <f>F42/'Housekeeper summary'!$E$4</f>
        <v>0.86592963719261196</v>
      </c>
    </row>
    <row r="43" spans="2:7" x14ac:dyDescent="0.2">
      <c r="B43" t="str">
        <f>'Results Workspace'!D36</f>
        <v>C5.a</v>
      </c>
      <c r="C43" s="9">
        <f>'Results Workspace'!E36</f>
        <v>28.974203109741211</v>
      </c>
      <c r="D43" s="9">
        <f>'Results Workspace'!F36</f>
        <v>0.13840293884277344</v>
      </c>
      <c r="E43" s="10">
        <f t="shared" si="8"/>
        <v>4.7767642933462407E-3</v>
      </c>
      <c r="F43" s="9">
        <f t="shared" si="9"/>
        <v>0.43180079429525775</v>
      </c>
      <c r="G43" s="9">
        <f>F43/'Housekeeper summary'!$E$4</f>
        <v>0.95831697487314638</v>
      </c>
    </row>
    <row r="44" spans="2:7" x14ac:dyDescent="0.2">
      <c r="B44" t="str">
        <f>'Results Workspace'!D39</f>
        <v>C6.a</v>
      </c>
      <c r="C44" s="9">
        <f>'Results Workspace'!E39</f>
        <v>29.089811960856121</v>
      </c>
      <c r="D44" s="9">
        <f>'Results Workspace'!F39</f>
        <v>0.25912992801272111</v>
      </c>
      <c r="E44" s="10">
        <f t="shared" si="8"/>
        <v>8.9079272276291078E-3</v>
      </c>
      <c r="F44" s="9">
        <f t="shared" si="9"/>
        <v>0.40339076163672044</v>
      </c>
      <c r="G44" s="9">
        <f>F44/'Housekeeper summary'!$E$4</f>
        <v>0.89526517665259875</v>
      </c>
    </row>
    <row r="45" spans="2:7" x14ac:dyDescent="0.2">
      <c r="B45" t="str">
        <f>'Results Workspace'!D42</f>
        <v>C7.a</v>
      </c>
      <c r="C45" s="9">
        <f>'Results Workspace'!E42</f>
        <v>29.012097358703613</v>
      </c>
      <c r="D45" s="9">
        <f>'Results Workspace'!F42</f>
        <v>1.0855674743652344E-2</v>
      </c>
      <c r="E45" s="10">
        <f t="shared" si="8"/>
        <v>3.7417752358381796E-4</v>
      </c>
      <c r="F45" s="9">
        <f t="shared" si="9"/>
        <v>0.42227472553181811</v>
      </c>
      <c r="G45" s="9">
        <f>F45/'Housekeeper summary'!$E$4</f>
        <v>0.93717529676504441</v>
      </c>
    </row>
    <row r="46" spans="2:7" x14ac:dyDescent="0.2">
      <c r="B46" t="str">
        <f>'Results Workspace'!D45</f>
        <v>C8.a</v>
      </c>
      <c r="C46" s="9">
        <f>'Results Workspace'!E45</f>
        <v>29.186537424723308</v>
      </c>
      <c r="D46" s="9">
        <f>'Results Workspace'!F45</f>
        <v>0.24086687727092743</v>
      </c>
      <c r="E46" s="10">
        <f>D46/C46</f>
        <v>8.2526705297660315E-3</v>
      </c>
      <c r="F46" s="9">
        <f t="shared" si="9"/>
        <v>0.38106260986902996</v>
      </c>
      <c r="G46" s="9">
        <f>F46/'Housekeeper summary'!$E$4</f>
        <v>0.84571119912589132</v>
      </c>
    </row>
    <row r="47" spans="2:7" x14ac:dyDescent="0.2">
      <c r="B47" t="str">
        <f>'Results Workspace'!D48</f>
        <v>C9.a</v>
      </c>
      <c r="C47" s="9">
        <f>'Results Workspace'!E48</f>
        <v>28.883106867472332</v>
      </c>
      <c r="D47" s="9">
        <f>'Results Workspace'!F48</f>
        <v>0.14084366582668889</v>
      </c>
      <c r="E47" s="10">
        <f t="shared" ref="E47:E55" si="10">D47/C47</f>
        <v>4.8763336462707427E-3</v>
      </c>
      <c r="F47" s="9">
        <f t="shared" ref="F47:F55" si="11">$C$29^($B$3-C47)</f>
        <v>0.45558963509678985</v>
      </c>
      <c r="G47" s="9">
        <f>F47/'Housekeeper summary'!$E$4</f>
        <v>1.0111127322081241</v>
      </c>
    </row>
    <row r="48" spans="2:7" x14ac:dyDescent="0.2">
      <c r="B48" t="str">
        <f>'Results Workspace'!D51</f>
        <v>O1.a</v>
      </c>
      <c r="C48" s="9">
        <f>'Results Workspace'!E51</f>
        <v>29.340360641479492</v>
      </c>
      <c r="D48" s="9">
        <f>'Results Workspace'!F51</f>
        <v>6.4336776733398438E-2</v>
      </c>
      <c r="E48" s="10">
        <f t="shared" si="10"/>
        <v>2.1927738898493052E-3</v>
      </c>
      <c r="F48" s="9">
        <f t="shared" si="11"/>
        <v>0.34807165354529207</v>
      </c>
      <c r="G48" s="9">
        <f>F48/'Housekeeper summary'!$E$4</f>
        <v>0.77249272922025636</v>
      </c>
    </row>
    <row r="49" spans="2:7" x14ac:dyDescent="0.2">
      <c r="B49" t="str">
        <f>'Results Workspace'!D54</f>
        <v>O2.a</v>
      </c>
      <c r="C49" s="9">
        <f>'Results Workspace'!E54</f>
        <v>29.01276969909668</v>
      </c>
      <c r="D49" s="9">
        <f>'Results Workspace'!F54</f>
        <v>0.15334892272949219</v>
      </c>
      <c r="E49" s="10">
        <f t="shared" si="10"/>
        <v>5.285566470210762E-3</v>
      </c>
      <c r="F49" s="9">
        <f t="shared" si="11"/>
        <v>0.42210762013080533</v>
      </c>
      <c r="G49" s="9">
        <f>F49/'Housekeeper summary'!$E$4</f>
        <v>0.93680443143895142</v>
      </c>
    </row>
    <row r="50" spans="2:7" x14ac:dyDescent="0.2">
      <c r="B50" t="str">
        <f>'Results Workspace'!D57</f>
        <v>O3.a</v>
      </c>
      <c r="C50" s="9">
        <f>'Results Workspace'!E57</f>
        <v>29.349613825480144</v>
      </c>
      <c r="D50" s="9">
        <f>'Results Workspace'!F57</f>
        <v>0.35881205704587443</v>
      </c>
      <c r="E50" s="10">
        <f t="shared" si="10"/>
        <v>1.2225443890998264E-2</v>
      </c>
      <c r="F50" s="9">
        <f t="shared" si="11"/>
        <v>0.34618074876420213</v>
      </c>
      <c r="G50" s="9">
        <f>F50/'Housekeeper summary'!$E$4</f>
        <v>0.76829615021084352</v>
      </c>
    </row>
    <row r="51" spans="2:7" x14ac:dyDescent="0.2">
      <c r="B51" t="str">
        <f>'Results Workspace'!D60</f>
        <v>O4.a</v>
      </c>
      <c r="C51" s="9">
        <f>'Results Workspace'!E60</f>
        <v>29.15470250447591</v>
      </c>
      <c r="D51" s="9">
        <f>'Results Workspace'!F60</f>
        <v>0.11293130459278235</v>
      </c>
      <c r="E51" s="10">
        <f t="shared" si="10"/>
        <v>3.8735193602282454E-3</v>
      </c>
      <c r="F51" s="9">
        <f t="shared" si="11"/>
        <v>0.38827149632975611</v>
      </c>
      <c r="G51" s="9">
        <f>F51/'Housekeeper summary'!$E$4</f>
        <v>0.8617102393234024</v>
      </c>
    </row>
    <row r="52" spans="2:7" x14ac:dyDescent="0.2">
      <c r="B52" t="str">
        <f>'Results Workspace'!D63</f>
        <v>O5.a</v>
      </c>
      <c r="C52" s="9">
        <f>'Results Workspace'!E63</f>
        <v>29.164875666300457</v>
      </c>
      <c r="D52" s="9">
        <f>'Results Workspace'!F63</f>
        <v>3.3104795003087079E-2</v>
      </c>
      <c r="E52" s="10">
        <f t="shared" si="10"/>
        <v>1.1350912440658589E-3</v>
      </c>
      <c r="F52" s="9">
        <f t="shared" si="11"/>
        <v>0.38595312084810773</v>
      </c>
      <c r="G52" s="9">
        <f>F52/'Housekeeper summary'!$E$4</f>
        <v>0.85656495333146843</v>
      </c>
    </row>
    <row r="53" spans="2:7" x14ac:dyDescent="0.2">
      <c r="B53" t="str">
        <f>'Results Workspace'!D66</f>
        <v>O6.a</v>
      </c>
      <c r="C53" s="9">
        <f>'Results Workspace'!E66</f>
        <v>29.072689056396484</v>
      </c>
      <c r="D53" s="9">
        <f>'Results Workspace'!F66</f>
        <v>0.21984073058718251</v>
      </c>
      <c r="E53" s="10">
        <f t="shared" si="10"/>
        <v>7.5617611484347308E-3</v>
      </c>
      <c r="F53" s="9">
        <f t="shared" si="11"/>
        <v>0.40747758859852362</v>
      </c>
      <c r="G53" s="9">
        <f>F53/'Housekeeper summary'!$E$4</f>
        <v>0.90433527495396315</v>
      </c>
    </row>
    <row r="54" spans="2:7" x14ac:dyDescent="0.2">
      <c r="B54" t="str">
        <f>'Results Workspace'!D69</f>
        <v>O7.a</v>
      </c>
      <c r="C54" s="9">
        <f>'Results Workspace'!E69</f>
        <v>29.339862823486328</v>
      </c>
      <c r="D54" s="9">
        <f>'Results Workspace'!F69</f>
        <v>0.15849685668945313</v>
      </c>
      <c r="E54" s="10">
        <f t="shared" si="10"/>
        <v>5.4020994454881243E-3</v>
      </c>
      <c r="F54" s="9">
        <f t="shared" si="11"/>
        <v>0.34817367582549957</v>
      </c>
      <c r="G54" s="9">
        <f>F54/'Housekeeper summary'!$E$4</f>
        <v>0.77271915233996757</v>
      </c>
    </row>
    <row r="55" spans="2:7" x14ac:dyDescent="0.2">
      <c r="B55" t="str">
        <f>'Results Workspace'!D72</f>
        <v>O8.a</v>
      </c>
      <c r="C55" s="9">
        <f>'Results Workspace'!E72</f>
        <v>28.878880182902019</v>
      </c>
      <c r="D55" s="9">
        <f>'Results Workspace'!F72</f>
        <v>0.27782002558827462</v>
      </c>
      <c r="E55" s="10">
        <f t="shared" si="10"/>
        <v>9.6201800010500497E-3</v>
      </c>
      <c r="F55" s="9">
        <f t="shared" si="11"/>
        <v>0.45672466221984748</v>
      </c>
      <c r="G55" s="9">
        <f>F55/'Housekeeper summary'!$E$4</f>
        <v>1.0136317543436504</v>
      </c>
    </row>
    <row r="56" spans="2:7" x14ac:dyDescent="0.2">
      <c r="B56" t="str">
        <f>'Results Workspace'!D75</f>
        <v>O9.a</v>
      </c>
      <c r="C56" s="9">
        <f>'Results Workspace'!E75</f>
        <v>29.13171895345052</v>
      </c>
      <c r="D56" s="9">
        <f>'Results Workspace'!F75</f>
        <v>0.14866845059016129</v>
      </c>
      <c r="E56" s="10">
        <f t="shared" ref="E56:E62" si="12">D56/C56</f>
        <v>5.1033188541918222E-3</v>
      </c>
      <c r="F56" s="9">
        <f t="shared" ref="F56:F62" si="13">$C$29^($B$3-C56)</f>
        <v>0.39356064983201905</v>
      </c>
      <c r="G56" s="9">
        <f>F56/'Housekeeper summary'!$E$4</f>
        <v>0.87344872070392177</v>
      </c>
    </row>
    <row r="57" spans="2:7" x14ac:dyDescent="0.2">
      <c r="B57" t="str">
        <f>'Results Workspace'!D78</f>
        <v>P1.a</v>
      </c>
      <c r="C57" s="9">
        <f>'Results Workspace'!E78</f>
        <v>28.735844612121582</v>
      </c>
      <c r="D57" s="9">
        <f>'Results Workspace'!F78</f>
        <v>4.0415763854980469E-2</v>
      </c>
      <c r="E57" s="10">
        <f t="shared" si="12"/>
        <v>1.4064581849086131E-3</v>
      </c>
      <c r="F57" s="9">
        <f t="shared" si="13"/>
        <v>0.49684862021432025</v>
      </c>
      <c r="G57" s="9">
        <f>F57/'Housekeeper summary'!$E$4</f>
        <v>1.1026808495588571</v>
      </c>
    </row>
    <row r="58" spans="2:7" x14ac:dyDescent="0.2">
      <c r="B58" t="str">
        <f>'Results Workspace'!D81</f>
        <v>P2.a</v>
      </c>
      <c r="C58" s="9">
        <f>'Results Workspace'!E81</f>
        <v>29.429332097371418</v>
      </c>
      <c r="D58" s="9">
        <f>'Results Workspace'!F81</f>
        <v>4.2391849181678404E-2</v>
      </c>
      <c r="E58" s="10">
        <f t="shared" si="12"/>
        <v>1.4404624964446536E-3</v>
      </c>
      <c r="F58" s="9">
        <f t="shared" si="13"/>
        <v>0.33030982978346024</v>
      </c>
      <c r="G58" s="9">
        <f>F58/'Housekeeper summary'!$E$4</f>
        <v>0.73307303050606254</v>
      </c>
    </row>
    <row r="59" spans="2:7" x14ac:dyDescent="0.2">
      <c r="B59" t="str">
        <f>'Results Workspace'!D84</f>
        <v>P3.a</v>
      </c>
      <c r="C59" s="9">
        <f>'Results Workspace'!E84</f>
        <v>29.39848518371582</v>
      </c>
      <c r="D59" s="9">
        <f>'Results Workspace'!F84</f>
        <v>7.5594632309410895E-2</v>
      </c>
      <c r="E59" s="10">
        <f t="shared" si="12"/>
        <v>2.5713784855582859E-3</v>
      </c>
      <c r="F59" s="9">
        <f t="shared" si="13"/>
        <v>0.33636288462148994</v>
      </c>
      <c r="G59" s="9">
        <f>F59/'Housekeeper summary'!$E$4</f>
        <v>0.74650687610745681</v>
      </c>
    </row>
    <row r="60" spans="2:7" x14ac:dyDescent="0.2">
      <c r="B60" t="str">
        <f>'Results Workspace'!D87</f>
        <v>P4.a</v>
      </c>
      <c r="C60" s="9">
        <f>'Results Workspace'!E87</f>
        <v>28.920724868774414</v>
      </c>
      <c r="D60" s="9">
        <f>'Results Workspace'!F87</f>
        <v>1.8032073974609375E-2</v>
      </c>
      <c r="E60" s="10">
        <f t="shared" si="12"/>
        <v>6.2350006980905689E-4</v>
      </c>
      <c r="F60" s="9">
        <f t="shared" si="13"/>
        <v>0.44561121678260357</v>
      </c>
      <c r="G60" s="9">
        <f>F60/'Housekeeper summary'!$E$4</f>
        <v>0.98896713224813171</v>
      </c>
    </row>
    <row r="61" spans="2:7" x14ac:dyDescent="0.2">
      <c r="B61" t="str">
        <f>'Results Workspace'!D90</f>
        <v>P5.a</v>
      </c>
      <c r="C61" s="9">
        <f>'Results Workspace'!E90</f>
        <v>29.023063659667969</v>
      </c>
      <c r="D61" s="9">
        <f>'Results Workspace'!F90</f>
        <v>9.71221923828125E-3</v>
      </c>
      <c r="E61" s="10">
        <f t="shared" si="12"/>
        <v>3.3463797454911278E-4</v>
      </c>
      <c r="F61" s="9">
        <f t="shared" si="13"/>
        <v>0.41955737117141018</v>
      </c>
      <c r="G61" s="9">
        <f>F61/'Housekeeper summary'!$E$4</f>
        <v>0.93114453710751621</v>
      </c>
    </row>
    <row r="62" spans="2:7" x14ac:dyDescent="0.2">
      <c r="B62" t="str">
        <f>'Results Workspace'!D93</f>
        <v>P6.a</v>
      </c>
      <c r="C62" s="9">
        <f>'Results Workspace'!E93</f>
        <v>29.270014762878418</v>
      </c>
      <c r="D62" s="9">
        <f>'Results Workspace'!F93</f>
        <v>8.0536842346191406E-2</v>
      </c>
      <c r="E62" s="10">
        <f t="shared" si="12"/>
        <v>2.7515135540120035E-3</v>
      </c>
      <c r="F62" s="9">
        <f t="shared" si="13"/>
        <v>0.36278878214090537</v>
      </c>
      <c r="G62" s="9">
        <f>F62/'Housekeeper summary'!$E$4</f>
        <v>0.80515518454895907</v>
      </c>
    </row>
    <row r="63" spans="2:7" x14ac:dyDescent="0.2">
      <c r="B63" t="str">
        <f>'Results Workspace'!D96</f>
        <v>P7.a</v>
      </c>
      <c r="C63" s="9">
        <f>'Results Workspace'!E96</f>
        <v>29.116472880045574</v>
      </c>
      <c r="D63" s="9">
        <f>'Results Workspace'!F96</f>
        <v>7.7291743770288621E-2</v>
      </c>
      <c r="E63" s="10">
        <f t="shared" ref="E63:E64" si="14">D63/C63</f>
        <v>2.6545709739196829E-3</v>
      </c>
      <c r="F63" s="9">
        <f t="shared" ref="F63:F64" si="15">$C$29^($B$3-C63)</f>
        <v>0.39710888372585951</v>
      </c>
      <c r="G63" s="9">
        <f>F63/'Housekeeper summary'!$E$4</f>
        <v>0.88132349262701937</v>
      </c>
    </row>
    <row r="64" spans="2:7" x14ac:dyDescent="0.2">
      <c r="B64" t="str">
        <f>'Results Workspace'!D99</f>
        <v>P8.a</v>
      </c>
      <c r="C64" s="9">
        <f>'Results Workspace'!E99</f>
        <v>28.763442993164063</v>
      </c>
      <c r="D64" s="9">
        <f>'Results Workspace'!F99</f>
        <v>2.31170654296875E-2</v>
      </c>
      <c r="E64" s="10">
        <f t="shared" si="14"/>
        <v>8.0369604692948321E-4</v>
      </c>
      <c r="F64" s="9">
        <f t="shared" si="15"/>
        <v>0.48884149538230626</v>
      </c>
      <c r="G64" s="9">
        <f>F64/'Housekeeper summary'!$E$4</f>
        <v>1.0849102392500665</v>
      </c>
    </row>
    <row r="65" spans="2:7" x14ac:dyDescent="0.2">
      <c r="B65" t="str">
        <f>'Results Workspace'!D102</f>
        <v>P9.a</v>
      </c>
      <c r="C65" s="9">
        <f>'Results Workspace'!E102</f>
        <v>29.953248023986816</v>
      </c>
      <c r="D65" s="9">
        <f>'Results Workspace'!F102</f>
        <v>2.7647018432617188E-3</v>
      </c>
      <c r="E65" s="10">
        <f t="shared" ref="E65" si="16">D65/C65</f>
        <v>9.2300569242030839E-5</v>
      </c>
      <c r="F65" s="9">
        <f t="shared" ref="F65" si="17">$C$29^($B$3-C65)</f>
        <v>0.24264588871863935</v>
      </c>
      <c r="G65" s="9">
        <f>F65/'Housekeeper summary'!$E$4</f>
        <v>0.53851608684918606</v>
      </c>
    </row>
    <row r="66" spans="2:7" x14ac:dyDescent="0.2">
      <c r="C66" s="9"/>
      <c r="D66" s="9"/>
      <c r="E66" s="10"/>
      <c r="F66" s="9"/>
      <c r="G66" s="11"/>
    </row>
    <row r="67" spans="2:7" x14ac:dyDescent="0.2">
      <c r="C67" s="9"/>
      <c r="D67" s="9"/>
      <c r="E67" s="10"/>
      <c r="F67" s="9"/>
      <c r="G67" s="11"/>
    </row>
    <row r="68" spans="2:7" x14ac:dyDescent="0.2">
      <c r="C68" s="9"/>
      <c r="D68" s="9"/>
      <c r="E68" s="10"/>
      <c r="F68" s="9"/>
      <c r="G68" s="11"/>
    </row>
    <row r="69" spans="2:7" x14ac:dyDescent="0.2">
      <c r="C69" s="9"/>
      <c r="D69" s="9"/>
      <c r="E69" s="10"/>
      <c r="F69" s="9"/>
      <c r="G69" s="11"/>
    </row>
    <row r="70" spans="2:7" x14ac:dyDescent="0.2">
      <c r="C70" s="9"/>
      <c r="D70" s="9"/>
      <c r="E70" s="10"/>
      <c r="F70" s="9"/>
      <c r="G70" s="11"/>
    </row>
    <row r="71" spans="2:7" x14ac:dyDescent="0.2">
      <c r="C71" s="9"/>
      <c r="D71" s="9"/>
      <c r="E71" s="10"/>
      <c r="F71" s="9"/>
      <c r="G71" s="11"/>
    </row>
    <row r="72" spans="2:7" x14ac:dyDescent="0.2">
      <c r="C72" s="9"/>
      <c r="D72" s="9"/>
      <c r="E72" s="10"/>
      <c r="F72" s="9"/>
      <c r="G72" s="11"/>
    </row>
    <row r="73" spans="2:7" x14ac:dyDescent="0.2">
      <c r="C73" s="9"/>
      <c r="D73" s="9"/>
      <c r="E73" s="10"/>
      <c r="F73" s="9"/>
      <c r="G73" s="11"/>
    </row>
    <row r="74" spans="2:7" x14ac:dyDescent="0.2">
      <c r="C74" s="9"/>
      <c r="D74" s="9"/>
      <c r="E74" s="10"/>
      <c r="F74" s="9"/>
      <c r="G74" s="11"/>
    </row>
    <row r="75" spans="2:7" x14ac:dyDescent="0.2">
      <c r="C75" s="9"/>
      <c r="D75" s="9"/>
      <c r="E75" s="10"/>
      <c r="F75" s="9"/>
      <c r="G75" s="11"/>
    </row>
    <row r="76" spans="2:7" x14ac:dyDescent="0.2">
      <c r="C76" s="9"/>
      <c r="D76" s="9"/>
      <c r="E76" s="10"/>
      <c r="F76" s="9"/>
      <c r="G76" s="11"/>
    </row>
    <row r="77" spans="2:7" x14ac:dyDescent="0.2">
      <c r="C77" s="9"/>
      <c r="D77" s="9"/>
      <c r="E77" s="10"/>
      <c r="F77" s="9"/>
      <c r="G77" s="11"/>
    </row>
    <row r="78" spans="2:7" x14ac:dyDescent="0.2">
      <c r="C78" s="9"/>
      <c r="D78" s="9"/>
      <c r="E78" s="10"/>
      <c r="F78" s="11"/>
      <c r="G78" s="11"/>
    </row>
    <row r="79" spans="2:7" x14ac:dyDescent="0.2">
      <c r="C79" s="9"/>
      <c r="D79" s="9"/>
      <c r="E79" s="10"/>
      <c r="F79" s="11"/>
      <c r="G79" s="11"/>
    </row>
  </sheetData>
  <conditionalFormatting sqref="E32:E79">
    <cfRule type="cellIs" dxfId="2" priority="3" operator="greaterThan">
      <formula>0.01</formula>
    </cfRule>
  </conditionalFormatting>
  <conditionalFormatting sqref="F39:F79">
    <cfRule type="colorScale" priority="2">
      <colorScale>
        <cfvo type="min"/>
        <cfvo type="max"/>
        <color rgb="FFFCFCFF"/>
        <color rgb="FF63BE7B"/>
      </colorScale>
    </cfRule>
  </conditionalFormatting>
  <conditionalFormatting sqref="G39:G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8"/>
  <sheetViews>
    <sheetView topLeftCell="A31" workbookViewId="0">
      <selection activeCell="I28" sqref="I28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 t="shared" ref="A2:C2" si="0">B33</f>
        <v>STD 10a</v>
      </c>
      <c r="B2">
        <f t="shared" si="0"/>
        <v>27.155117034912109</v>
      </c>
      <c r="C2">
        <f t="shared" si="0"/>
        <v>0.25739137244748594</v>
      </c>
      <c r="D2" s="10">
        <f>C2/B2</f>
        <v>9.4785587599040527E-3</v>
      </c>
      <c r="E2">
        <v>0.1</v>
      </c>
      <c r="F2" s="9">
        <f>LOG(E2,10)</f>
        <v>-0.99999999999999978</v>
      </c>
    </row>
    <row r="3" spans="1:6" x14ac:dyDescent="0.2">
      <c r="A3" t="str">
        <f t="shared" ref="A3:C3" si="1">B34</f>
        <v>STD 20a</v>
      </c>
      <c r="B3">
        <f t="shared" si="1"/>
        <v>28.420527776082356</v>
      </c>
      <c r="C3">
        <f t="shared" si="1"/>
        <v>6.1983813866961397E-2</v>
      </c>
      <c r="D3" s="10">
        <f t="shared" ref="D3:D7" si="2">C3/B3</f>
        <v>2.1809522453388299E-3</v>
      </c>
      <c r="E3">
        <v>0.05</v>
      </c>
      <c r="F3" s="9">
        <f t="shared" ref="F3:F7" si="3">LOG(E3,10)</f>
        <v>-1.301029995663981</v>
      </c>
    </row>
    <row r="4" spans="1:6" x14ac:dyDescent="0.2">
      <c r="A4" t="str">
        <f t="shared" ref="A4:C4" si="4">B35</f>
        <v>STD 40a</v>
      </c>
      <c r="B4">
        <f t="shared" si="4"/>
        <v>29.413422902425129</v>
      </c>
      <c r="C4">
        <f t="shared" si="4"/>
        <v>6.3609168049198986E-2</v>
      </c>
      <c r="D4" s="10">
        <f t="shared" si="2"/>
        <v>2.1625897897097324E-3</v>
      </c>
      <c r="E4">
        <v>2.5000000000000001E-2</v>
      </c>
      <c r="F4" s="9">
        <f t="shared" si="3"/>
        <v>-1.6020599913279623</v>
      </c>
    </row>
    <row r="5" spans="1:6" x14ac:dyDescent="0.2">
      <c r="A5" t="str">
        <f t="shared" ref="A5:C5" si="5">B36</f>
        <v>STD 80a</v>
      </c>
      <c r="B5">
        <f t="shared" si="5"/>
        <v>30.774197260538738</v>
      </c>
      <c r="C5">
        <f t="shared" si="5"/>
        <v>9.5804009357418715E-2</v>
      </c>
      <c r="D5" s="10">
        <f t="shared" si="2"/>
        <v>3.1131278111441322E-3</v>
      </c>
      <c r="E5">
        <v>1.2500000000000001E-2</v>
      </c>
      <c r="F5" s="9">
        <f t="shared" si="3"/>
        <v>-1.9030899869919433</v>
      </c>
    </row>
    <row r="6" spans="1:6" x14ac:dyDescent="0.2">
      <c r="A6" t="str">
        <f t="shared" ref="A6:C6" si="6">B37</f>
        <v>STD 160a</v>
      </c>
      <c r="B6">
        <f t="shared" si="6"/>
        <v>31.777816136678059</v>
      </c>
      <c r="C6">
        <f t="shared" si="6"/>
        <v>2.3355509909117052E-2</v>
      </c>
      <c r="D6" s="10">
        <f t="shared" si="2"/>
        <v>7.3496271136643801E-4</v>
      </c>
      <c r="E6">
        <v>6.2500000000000003E-3</v>
      </c>
      <c r="F6" s="9">
        <f t="shared" si="3"/>
        <v>-2.2041199826559246</v>
      </c>
    </row>
    <row r="7" spans="1:6" x14ac:dyDescent="0.2">
      <c r="A7" t="str">
        <f t="shared" ref="A7:C7" si="7">B38</f>
        <v>STD 320a</v>
      </c>
      <c r="B7">
        <f t="shared" si="7"/>
        <v>32.55586051940918</v>
      </c>
      <c r="C7">
        <f t="shared" si="7"/>
        <v>4.3516159057617188E-2</v>
      </c>
      <c r="D7" s="10">
        <f t="shared" si="2"/>
        <v>1.3366613065464415E-3</v>
      </c>
      <c r="E7">
        <v>3.1250000000000002E-3</v>
      </c>
      <c r="F7" s="9">
        <f t="shared" si="3"/>
        <v>-2.5051499783199058</v>
      </c>
    </row>
    <row r="28" spans="1:7" x14ac:dyDescent="0.2">
      <c r="B28" s="3" t="s">
        <v>446</v>
      </c>
      <c r="C28">
        <f>SLOPE(B2:B7,F2:F7)</f>
        <v>-3.6480803921793417</v>
      </c>
    </row>
    <row r="29" spans="1:7" x14ac:dyDescent="0.2">
      <c r="B29" s="13" t="s">
        <v>447</v>
      </c>
      <c r="C29" s="13">
        <f>10^(-1/C28)</f>
        <v>1.879822165650469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Workspace'!D123</f>
        <v>Blank 1.a</v>
      </c>
      <c r="C32" s="9">
        <f>'Results Workspace'!E123</f>
        <v>40.1</v>
      </c>
      <c r="D32" s="9">
        <f>'Results Workspace'!F123</f>
        <v>0</v>
      </c>
      <c r="E32" s="10">
        <f>D32/C32</f>
        <v>0</v>
      </c>
      <c r="F32" s="9">
        <f>$C$29^($B$3-C32)</f>
        <v>6.2872516405303256E-4</v>
      </c>
      <c r="G32" s="9"/>
    </row>
    <row r="33" spans="2:9" x14ac:dyDescent="0.2">
      <c r="B33" t="str">
        <f>'Results Workspace'!D126</f>
        <v>STD 10a</v>
      </c>
      <c r="C33" s="9">
        <f>'Results Workspace'!E126</f>
        <v>27.155117034912109</v>
      </c>
      <c r="D33" s="9">
        <f>'Results Workspace'!F126</f>
        <v>0.25739137244748594</v>
      </c>
      <c r="E33" s="10">
        <f>D33/C33</f>
        <v>9.4785587599040527E-3</v>
      </c>
      <c r="F33" s="9">
        <f>$C$29^($B$3-C33)</f>
        <v>2.2226460103279622</v>
      </c>
      <c r="G33" s="9"/>
    </row>
    <row r="34" spans="2:9" x14ac:dyDescent="0.2">
      <c r="B34" t="str">
        <f>'Results Workspace'!D129</f>
        <v>STD 20a</v>
      </c>
      <c r="C34" s="9">
        <f>'Results Workspace'!E129</f>
        <v>28.420527776082356</v>
      </c>
      <c r="D34" s="9">
        <f>'Results Workspace'!F129</f>
        <v>6.1983813866961397E-2</v>
      </c>
      <c r="E34" s="10">
        <f>D34/C34</f>
        <v>2.1809522453388299E-3</v>
      </c>
      <c r="F34" s="9">
        <f>$C$29^($B$3-C34)</f>
        <v>1</v>
      </c>
      <c r="G34" s="9"/>
    </row>
    <row r="35" spans="2:9" x14ac:dyDescent="0.2">
      <c r="B35" t="str">
        <f>'Results Workspace'!D132</f>
        <v>STD 40a</v>
      </c>
      <c r="C35" s="9">
        <f>'Results Workspace'!E132</f>
        <v>29.413422902425129</v>
      </c>
      <c r="D35" s="9">
        <f>'Results Workspace'!F132</f>
        <v>6.3609168049198986E-2</v>
      </c>
      <c r="E35" s="10">
        <f>D35/C35</f>
        <v>2.1625897897097324E-3</v>
      </c>
      <c r="F35" s="9">
        <f>$C$29^($B$3-C35)</f>
        <v>0.53435613357127443</v>
      </c>
      <c r="G35" s="9"/>
    </row>
    <row r="36" spans="2:9" x14ac:dyDescent="0.2">
      <c r="B36" t="str">
        <f>'Results Workspace'!D135</f>
        <v>STD 80a</v>
      </c>
      <c r="C36" s="9">
        <f>'Results Workspace'!E135</f>
        <v>30.774197260538738</v>
      </c>
      <c r="D36" s="9">
        <f>'Results Workspace'!F135</f>
        <v>9.5804009357418715E-2</v>
      </c>
      <c r="E36" s="10">
        <f>D36/C36</f>
        <v>3.1131278111441322E-3</v>
      </c>
      <c r="F36" s="9">
        <f>$C$29^($B$3-C36)</f>
        <v>0.22637044895782329</v>
      </c>
      <c r="G36" s="9"/>
    </row>
    <row r="37" spans="2:9" x14ac:dyDescent="0.2">
      <c r="B37" t="str">
        <f>'Results Workspace'!D138</f>
        <v>STD 160a</v>
      </c>
      <c r="C37" s="9">
        <f>'Results Workspace'!E138</f>
        <v>31.777816136678059</v>
      </c>
      <c r="D37" s="9">
        <f>'Results Workspace'!F138</f>
        <v>2.3355509909117052E-2</v>
      </c>
      <c r="E37" s="10">
        <f t="shared" ref="E37:E45" si="8">D37/C37</f>
        <v>7.3496271136643801E-4</v>
      </c>
      <c r="F37" s="9">
        <f t="shared" ref="F37:F55" si="9">$C$29^($B$3-C37)</f>
        <v>0.12014645780902367</v>
      </c>
      <c r="G37" s="9"/>
    </row>
    <row r="38" spans="2:9" x14ac:dyDescent="0.2">
      <c r="B38" t="str">
        <f>'Results Workspace'!D141</f>
        <v>STD 320a</v>
      </c>
      <c r="C38" s="9">
        <f>'Results Workspace'!E141</f>
        <v>32.55586051940918</v>
      </c>
      <c r="D38" s="9">
        <f>'Results Workspace'!F141</f>
        <v>4.3516159057617188E-2</v>
      </c>
      <c r="E38" s="10">
        <f t="shared" si="8"/>
        <v>1.3366613065464415E-3</v>
      </c>
      <c r="F38" s="9">
        <f t="shared" si="9"/>
        <v>7.3525157107165492E-2</v>
      </c>
      <c r="G38" s="9"/>
    </row>
    <row r="39" spans="2:9" x14ac:dyDescent="0.2">
      <c r="B39" t="str">
        <f>'Results Workspace'!D144</f>
        <v>C1.a</v>
      </c>
      <c r="C39" s="9">
        <f>'Results Workspace'!E144</f>
        <v>30.151700973510742</v>
      </c>
      <c r="D39" s="9">
        <f>'Results Workspace'!F144</f>
        <v>0.16386962219341525</v>
      </c>
      <c r="E39" s="10">
        <f t="shared" si="8"/>
        <v>5.4348383972559321E-3</v>
      </c>
      <c r="F39" s="9">
        <f t="shared" si="9"/>
        <v>0.33531764036517009</v>
      </c>
      <c r="G39" s="9">
        <f>F39/'Housekeeper summary'!$E$4</f>
        <v>0.74418711355270095</v>
      </c>
    </row>
    <row r="40" spans="2:9" x14ac:dyDescent="0.2">
      <c r="B40" t="str">
        <f>'Results Workspace'!D147</f>
        <v>C2.a</v>
      </c>
      <c r="C40" s="9">
        <f>'Results Workspace'!E147</f>
        <v>29.838883717854817</v>
      </c>
      <c r="D40" s="9">
        <f>'Results Workspace'!F147</f>
        <v>0.17130562463428409</v>
      </c>
      <c r="E40" s="10">
        <f t="shared" si="8"/>
        <v>5.7410198804380618E-3</v>
      </c>
      <c r="F40" s="9">
        <f t="shared" si="9"/>
        <v>0.40851203525915358</v>
      </c>
      <c r="G40" s="9">
        <f>F40/'Housekeeper summary'!$E$4</f>
        <v>0.90663107386767405</v>
      </c>
    </row>
    <row r="41" spans="2:9" x14ac:dyDescent="0.2">
      <c r="B41" t="str">
        <f>'Results Workspace'!D150</f>
        <v>C3.a</v>
      </c>
      <c r="C41" s="9">
        <f>'Results Workspace'!E150</f>
        <v>29.84460957845052</v>
      </c>
      <c r="D41" s="9">
        <f>'Results Workspace'!F150</f>
        <v>0.26403421811211808</v>
      </c>
      <c r="E41" s="10">
        <f t="shared" si="8"/>
        <v>8.8469650580641403E-3</v>
      </c>
      <c r="F41" s="9">
        <f t="shared" si="9"/>
        <v>0.40703832409412727</v>
      </c>
      <c r="G41" s="9">
        <f>F41/'Housekeeper summary'!$E$4</f>
        <v>0.90336039339611585</v>
      </c>
      <c r="I41" t="s">
        <v>543</v>
      </c>
    </row>
    <row r="42" spans="2:9" x14ac:dyDescent="0.2">
      <c r="B42" t="str">
        <f>'Results Workspace'!D153</f>
        <v>C4.a</v>
      </c>
      <c r="C42" s="9">
        <f>'Results Workspace'!E153</f>
        <v>29.729899724324543</v>
      </c>
      <c r="D42" s="9">
        <f>'Results Workspace'!F153</f>
        <v>0.10179480603684236</v>
      </c>
      <c r="E42" s="10">
        <f t="shared" si="8"/>
        <v>3.4239875337875908E-3</v>
      </c>
      <c r="F42" s="9">
        <f t="shared" si="9"/>
        <v>0.43760189678047734</v>
      </c>
      <c r="G42" s="9">
        <f>F42/'Housekeeper summary'!$E$4</f>
        <v>0.97119165008915198</v>
      </c>
    </row>
    <row r="43" spans="2:9" x14ac:dyDescent="0.2">
      <c r="B43" t="str">
        <f>'Results Workspace'!D156</f>
        <v>C5.a</v>
      </c>
      <c r="C43" s="9">
        <f>'Results Workspace'!E156</f>
        <v>29.578423182169598</v>
      </c>
      <c r="D43" s="9">
        <f>'Results Workspace'!F156</f>
        <v>0.21117194812650636</v>
      </c>
      <c r="E43" s="10">
        <f t="shared" si="8"/>
        <v>7.1393916716224609E-3</v>
      </c>
      <c r="F43" s="9">
        <f t="shared" si="9"/>
        <v>0.48150572556254667</v>
      </c>
      <c r="G43" s="9">
        <f>F43/'Housekeeper summary'!$E$4</f>
        <v>1.0686296005043427</v>
      </c>
    </row>
    <row r="44" spans="2:9" x14ac:dyDescent="0.2">
      <c r="B44" t="str">
        <f>'Results Workspace'!D159</f>
        <v>C6.a</v>
      </c>
      <c r="C44" s="9">
        <f>'Results Workspace'!E159</f>
        <v>29.714831034342449</v>
      </c>
      <c r="D44" s="9">
        <f>'Results Workspace'!F159</f>
        <v>0.22706926485045817</v>
      </c>
      <c r="E44" s="10">
        <f t="shared" si="8"/>
        <v>7.6416138657502859E-3</v>
      </c>
      <c r="F44" s="9">
        <f t="shared" si="9"/>
        <v>0.44178378971146703</v>
      </c>
      <c r="G44" s="9">
        <f>F44/'Housekeeper summary'!$E$4</f>
        <v>0.98047273302326343</v>
      </c>
    </row>
    <row r="45" spans="2:9" x14ac:dyDescent="0.2">
      <c r="B45" t="str">
        <f>'Results Workspace'!D162</f>
        <v>C7.a</v>
      </c>
      <c r="C45" s="9">
        <f>'Results Workspace'!E162</f>
        <v>29.491896947224934</v>
      </c>
      <c r="D45" s="9">
        <f>'Results Workspace'!F162</f>
        <v>6.2544870620784732E-2</v>
      </c>
      <c r="E45" s="10">
        <f t="shared" si="8"/>
        <v>2.1207476322295349E-3</v>
      </c>
      <c r="F45" s="9">
        <f t="shared" si="9"/>
        <v>0.50853371045226625</v>
      </c>
      <c r="G45" s="9">
        <f>F45/'Housekeeper summary'!$E$4</f>
        <v>1.1286141513866699</v>
      </c>
    </row>
    <row r="46" spans="2:9" x14ac:dyDescent="0.2">
      <c r="B46" t="str">
        <f>'Results Workspace'!D165</f>
        <v>C8.a</v>
      </c>
      <c r="C46" s="9">
        <f>'Results Workspace'!E165</f>
        <v>29.167420705159504</v>
      </c>
      <c r="D46" s="9">
        <f>'Results Workspace'!F165</f>
        <v>3.4253372028333992E-2</v>
      </c>
      <c r="E46" s="10">
        <f>D46/C46</f>
        <v>1.1743709659687125E-3</v>
      </c>
      <c r="F46" s="9">
        <f t="shared" si="9"/>
        <v>0.62411428867263119</v>
      </c>
      <c r="G46" s="9">
        <f>F46/'Housekeeper summary'!$E$4</f>
        <v>1.3851278760892962</v>
      </c>
    </row>
    <row r="47" spans="2:9" x14ac:dyDescent="0.2">
      <c r="B47" t="str">
        <f>'Results Workspace'!D168</f>
        <v>C9.a</v>
      </c>
      <c r="C47" s="9">
        <f>'Results Workspace'!E168</f>
        <v>28.977076212565105</v>
      </c>
      <c r="D47" s="9">
        <f>'Results Workspace'!F168</f>
        <v>2.3984911829950582E-2</v>
      </c>
      <c r="E47" s="10">
        <f t="shared" ref="E47:E55" si="10">D47/C47</f>
        <v>8.2772021766468597E-4</v>
      </c>
      <c r="F47" s="9">
        <f t="shared" si="9"/>
        <v>0.70378619272577381</v>
      </c>
      <c r="G47" s="9">
        <f>F47/'Housekeeper summary'!$E$4</f>
        <v>1.561947694587323</v>
      </c>
    </row>
    <row r="48" spans="2:9" x14ac:dyDescent="0.2">
      <c r="B48" t="str">
        <f>'Results Workspace'!D171</f>
        <v>O1.a</v>
      </c>
      <c r="C48" s="9">
        <f>'Results Workspace'!E171</f>
        <v>30.001070022583008</v>
      </c>
      <c r="D48" s="9">
        <f>'Results Workspace'!F171</f>
        <v>0.12262072009065822</v>
      </c>
      <c r="E48" s="10">
        <f t="shared" si="10"/>
        <v>4.0872115560663903E-3</v>
      </c>
      <c r="F48" s="9">
        <f t="shared" si="9"/>
        <v>0.36876260184022108</v>
      </c>
      <c r="G48" s="9">
        <f>F48/'Housekeeper summary'!$E$4</f>
        <v>0.81841317966689142</v>
      </c>
    </row>
    <row r="49" spans="2:7" x14ac:dyDescent="0.2">
      <c r="B49" t="str">
        <f>'Results Workspace'!D174</f>
        <v>O2.a</v>
      </c>
      <c r="C49" s="9">
        <f>'Results Workspace'!E174</f>
        <v>30.151232401529949</v>
      </c>
      <c r="D49" s="9">
        <f>'Results Workspace'!F174</f>
        <v>2.3432475510787601E-2</v>
      </c>
      <c r="E49" s="10">
        <f t="shared" si="10"/>
        <v>7.7716476722187241E-4</v>
      </c>
      <c r="F49" s="9">
        <f t="shared" si="9"/>
        <v>0.33541682587468735</v>
      </c>
      <c r="G49" s="9">
        <f>F49/'Housekeeper summary'!$E$4</f>
        <v>0.74440724088615562</v>
      </c>
    </row>
    <row r="50" spans="2:7" x14ac:dyDescent="0.2">
      <c r="B50" t="str">
        <f>'Results Workspace'!D177</f>
        <v>O3.a</v>
      </c>
      <c r="C50" s="9">
        <f>'Results Workspace'!E177</f>
        <v>29.805301666259766</v>
      </c>
      <c r="D50" s="9">
        <f>'Results Workspace'!F177</f>
        <v>0.12361442223459693</v>
      </c>
      <c r="E50" s="10">
        <f t="shared" si="10"/>
        <v>4.1473971180949693E-3</v>
      </c>
      <c r="F50" s="9">
        <f t="shared" si="9"/>
        <v>0.41726336807578879</v>
      </c>
      <c r="G50" s="9">
        <f>F50/'Housekeeper summary'!$E$4</f>
        <v>0.92605334196385403</v>
      </c>
    </row>
    <row r="51" spans="2:7" x14ac:dyDescent="0.2">
      <c r="B51" t="str">
        <f>'Results Workspace'!D180</f>
        <v>O4.a</v>
      </c>
      <c r="C51" s="9">
        <f>'Results Workspace'!E180</f>
        <v>29.462720235188801</v>
      </c>
      <c r="D51" s="9">
        <f>'Results Workspace'!F180</f>
        <v>0.13559385639666593</v>
      </c>
      <c r="E51" s="10">
        <f t="shared" si="10"/>
        <v>4.6022178303386733E-3</v>
      </c>
      <c r="F51" s="9">
        <f t="shared" si="9"/>
        <v>0.51798546499633702</v>
      </c>
      <c r="G51" s="9">
        <f>F51/'Housekeeper summary'!$E$4</f>
        <v>1.1495909002523144</v>
      </c>
    </row>
    <row r="52" spans="2:7" x14ac:dyDescent="0.2">
      <c r="B52" t="str">
        <f>'Results Workspace'!D183</f>
        <v>O5.a</v>
      </c>
      <c r="C52" s="9">
        <f>'Results Workspace'!E183</f>
        <v>29.370327631632488</v>
      </c>
      <c r="D52" s="9">
        <f>'Results Workspace'!F183</f>
        <v>0.14708970966474</v>
      </c>
      <c r="E52" s="10">
        <f t="shared" si="10"/>
        <v>5.008105851237463E-3</v>
      </c>
      <c r="F52" s="9">
        <f t="shared" si="9"/>
        <v>0.54909050650522939</v>
      </c>
      <c r="G52" s="9">
        <f>F52/'Housekeeper summary'!$E$4</f>
        <v>1.2186238656287578</v>
      </c>
    </row>
    <row r="53" spans="2:7" x14ac:dyDescent="0.2">
      <c r="B53" t="str">
        <f>'Results Workspace'!D186</f>
        <v>O6.a</v>
      </c>
      <c r="C53" s="9">
        <f>'Results Workspace'!E186</f>
        <v>29.371307373046875</v>
      </c>
      <c r="D53" s="9">
        <f>'Results Workspace'!F186</f>
        <v>0.27719489966660732</v>
      </c>
      <c r="E53" s="10">
        <f t="shared" si="10"/>
        <v>9.4376084845641008E-3</v>
      </c>
      <c r="F53" s="9">
        <f t="shared" si="9"/>
        <v>0.54875105916112277</v>
      </c>
      <c r="G53" s="9">
        <f>F53/'Housekeeper summary'!$E$4</f>
        <v>1.2178705132583347</v>
      </c>
    </row>
    <row r="54" spans="2:7" x14ac:dyDescent="0.2">
      <c r="B54" t="str">
        <f>'Results Workspace'!D189</f>
        <v>O7.a</v>
      </c>
      <c r="C54" s="9">
        <f>'Results Workspace'!E189</f>
        <v>29.681221008300781</v>
      </c>
      <c r="D54" s="9">
        <f>'Results Workspace'!F189</f>
        <v>0.10458048394152841</v>
      </c>
      <c r="E54" s="10">
        <f t="shared" si="10"/>
        <v>3.5234562591707724E-3</v>
      </c>
      <c r="F54" s="9">
        <f t="shared" si="9"/>
        <v>0.45125585304223437</v>
      </c>
      <c r="G54" s="9">
        <f>F54/'Housekeeper summary'!$E$4</f>
        <v>1.0014945541891156</v>
      </c>
    </row>
    <row r="55" spans="2:7" x14ac:dyDescent="0.2">
      <c r="B55" t="str">
        <f>'Results Workspace'!D192</f>
        <v>O8.a</v>
      </c>
      <c r="C55" s="9">
        <f>'Results Workspace'!E192</f>
        <v>29.050981521606445</v>
      </c>
      <c r="D55" s="9">
        <f>'Results Workspace'!F192</f>
        <v>4.545159560381145E-2</v>
      </c>
      <c r="E55" s="10">
        <f t="shared" si="10"/>
        <v>1.5645459541532934E-3</v>
      </c>
      <c r="F55" s="9">
        <f t="shared" si="9"/>
        <v>0.67171037765920893</v>
      </c>
      <c r="G55" s="9">
        <f>F55/'Housekeeper summary'!$E$4</f>
        <v>1.4907602431808249</v>
      </c>
    </row>
    <row r="56" spans="2:7" x14ac:dyDescent="0.2">
      <c r="B56" t="str">
        <f>'Results Workspace'!D195</f>
        <v>O9.a</v>
      </c>
      <c r="C56" s="9">
        <f>'Results Workspace'!E195</f>
        <v>29.473618189493816</v>
      </c>
      <c r="D56" s="9">
        <f>'Results Workspace'!F195</f>
        <v>0.1140541720401497</v>
      </c>
      <c r="E56" s="10">
        <f t="shared" ref="E56:E62" si="11">D56/C56</f>
        <v>3.8697037909246417E-3</v>
      </c>
      <c r="F56" s="9">
        <f t="shared" ref="F56:F62" si="12">$C$29^($B$3-C56)</f>
        <v>0.5144347072387172</v>
      </c>
      <c r="G56" s="9">
        <f>F56/'Housekeeper summary'!$E$4</f>
        <v>1.1417105269928274</v>
      </c>
    </row>
    <row r="57" spans="2:7" x14ac:dyDescent="0.2">
      <c r="B57" t="str">
        <f>'Results Workspace'!D198</f>
        <v>P1.a</v>
      </c>
      <c r="C57" s="9">
        <f>'Results Workspace'!E198</f>
        <v>30.029139836629231</v>
      </c>
      <c r="D57" s="9">
        <f>'Results Workspace'!F198</f>
        <v>0.10181220931814403</v>
      </c>
      <c r="E57" s="10">
        <f t="shared" si="11"/>
        <v>3.3904470748094676E-3</v>
      </c>
      <c r="F57" s="9">
        <f t="shared" si="12"/>
        <v>0.36228676092625456</v>
      </c>
      <c r="G57" s="9">
        <f>F57/'Housekeeper summary'!$E$4</f>
        <v>0.80404102390335053</v>
      </c>
    </row>
    <row r="58" spans="2:7" x14ac:dyDescent="0.2">
      <c r="B58" t="str">
        <f>'Results Workspace'!D201</f>
        <v>P2.a</v>
      </c>
      <c r="C58" s="9">
        <f>'Results Workspace'!E201</f>
        <v>29.961119969685871</v>
      </c>
      <c r="D58" s="9">
        <f>'Results Workspace'!F201</f>
        <v>8.8047093068645443E-2</v>
      </c>
      <c r="E58" s="10">
        <f t="shared" si="11"/>
        <v>2.9387116755892279E-3</v>
      </c>
      <c r="F58" s="9">
        <f t="shared" si="12"/>
        <v>0.37817938376095861</v>
      </c>
      <c r="G58" s="9">
        <f>F58/'Housekeeper summary'!$E$4</f>
        <v>0.83931231205049395</v>
      </c>
    </row>
    <row r="59" spans="2:7" x14ac:dyDescent="0.2">
      <c r="B59" t="str">
        <f>'Results Workspace'!D204</f>
        <v>P3.a</v>
      </c>
      <c r="C59" s="9">
        <f>'Results Workspace'!E204</f>
        <v>30.219470977783203</v>
      </c>
      <c r="D59" s="9">
        <f>'Results Workspace'!F204</f>
        <v>0.18861686362907251</v>
      </c>
      <c r="E59" s="10">
        <f t="shared" si="11"/>
        <v>6.2415673579375415E-3</v>
      </c>
      <c r="F59" s="9">
        <f t="shared" si="12"/>
        <v>0.3212769046611591</v>
      </c>
      <c r="G59" s="9">
        <f>F59/'Housekeeper summary'!$E$4</f>
        <v>0.71302581060321957</v>
      </c>
    </row>
    <row r="60" spans="2:7" x14ac:dyDescent="0.2">
      <c r="B60" t="str">
        <f>'Results Workspace'!D207</f>
        <v>P4.a</v>
      </c>
      <c r="C60" s="9">
        <f>'Results Workspace'!E207</f>
        <v>29.909882227579754</v>
      </c>
      <c r="D60" s="9">
        <f>'Results Workspace'!F207</f>
        <v>7.4317087878290153E-2</v>
      </c>
      <c r="E60" s="10">
        <f t="shared" si="11"/>
        <v>2.4847001172663506E-3</v>
      </c>
      <c r="F60" s="9">
        <f t="shared" si="12"/>
        <v>0.39060965511706264</v>
      </c>
      <c r="G60" s="9">
        <f>F60/'Housekeeper summary'!$E$4</f>
        <v>0.866899431389345</v>
      </c>
    </row>
    <row r="61" spans="2:7" x14ac:dyDescent="0.2">
      <c r="B61" t="str">
        <f>'Results Workspace'!D210</f>
        <v>P5.a</v>
      </c>
      <c r="C61" s="9">
        <f>'Results Workspace'!E210</f>
        <v>29.310558319091797</v>
      </c>
      <c r="D61" s="9">
        <f>'Results Workspace'!F210</f>
        <v>3.8250948285125319E-2</v>
      </c>
      <c r="E61" s="10">
        <f t="shared" si="11"/>
        <v>1.3050228476954699E-3</v>
      </c>
      <c r="F61" s="9">
        <f t="shared" si="12"/>
        <v>0.57020064693992512</v>
      </c>
      <c r="G61" s="9">
        <f>F61/'Housekeeper summary'!$E$4</f>
        <v>1.2654746500362823</v>
      </c>
    </row>
    <row r="62" spans="2:7" x14ac:dyDescent="0.2">
      <c r="B62" t="str">
        <f>'Results Workspace'!D213</f>
        <v>P6.a</v>
      </c>
      <c r="C62" s="9">
        <f>'Results Workspace'!E213</f>
        <v>29.635135650634766</v>
      </c>
      <c r="D62" s="9">
        <f>'Results Workspace'!F213</f>
        <v>0.28273143425640412</v>
      </c>
      <c r="E62" s="10">
        <f t="shared" si="11"/>
        <v>9.5404130282882027E-3</v>
      </c>
      <c r="F62" s="9">
        <f t="shared" si="12"/>
        <v>0.46457476641536316</v>
      </c>
      <c r="G62" s="9">
        <f>F62/'Housekeeper summary'!$E$4</f>
        <v>1.0310538809457186</v>
      </c>
    </row>
    <row r="63" spans="2:7" x14ac:dyDescent="0.2">
      <c r="B63" t="str">
        <f>'Results Workspace'!D216</f>
        <v>P7.a</v>
      </c>
      <c r="C63" s="9">
        <f>'Results Workspace'!E216</f>
        <v>29.476138432820637</v>
      </c>
      <c r="D63" s="9">
        <f>'Results Workspace'!F216</f>
        <v>0.14774903407672657</v>
      </c>
      <c r="E63" s="10">
        <f t="shared" ref="E63" si="13">D63/C63</f>
        <v>5.012496274349602E-3</v>
      </c>
      <c r="F63" s="9">
        <f t="shared" ref="F63" si="14">$C$29^($B$3-C63)</f>
        <v>0.51361703613797194</v>
      </c>
      <c r="G63" s="9">
        <f>F63/'Housekeeper summary'!$E$4</f>
        <v>1.1398958288587344</v>
      </c>
    </row>
    <row r="64" spans="2:7" x14ac:dyDescent="0.2">
      <c r="B64" t="str">
        <f>'Results Workspace'!D219</f>
        <v>P8.a</v>
      </c>
      <c r="C64" s="9">
        <f>'Results Workspace'!E219</f>
        <v>29.647272109985352</v>
      </c>
      <c r="D64" s="9">
        <f>'Results Workspace'!F219</f>
        <v>6.6261247526164108E-2</v>
      </c>
      <c r="E64" s="9">
        <f>'Results Workspace'!G193</f>
        <v>0</v>
      </c>
      <c r="F64" s="9">
        <f t="shared" ref="F64:F65" si="15">$C$29^($B$3-C64)</f>
        <v>0.46102960046360092</v>
      </c>
      <c r="G64" s="9">
        <f>F64/'Housekeeper summary'!$E$4</f>
        <v>1.0231859178590343</v>
      </c>
    </row>
    <row r="65" spans="2:7" x14ac:dyDescent="0.2">
      <c r="B65" t="str">
        <f>'Results Workspace'!D222</f>
        <v>P9.a</v>
      </c>
      <c r="C65" s="9">
        <f>'Results Workspace'!E222</f>
        <v>29.227823893229168</v>
      </c>
      <c r="D65" s="9">
        <f>'Results Workspace'!F222</f>
        <v>0.24753767656549563</v>
      </c>
      <c r="E65" s="9">
        <f>'Results Workspace'!G194</f>
        <v>0</v>
      </c>
      <c r="F65" s="9">
        <f t="shared" si="15"/>
        <v>0.60076773321208088</v>
      </c>
      <c r="G65" s="9">
        <f>F65/'Housekeeper summary'!$E$4</f>
        <v>1.3333137046050165</v>
      </c>
    </row>
    <row r="66" spans="2:7" x14ac:dyDescent="0.2">
      <c r="C66" s="9"/>
      <c r="D66" s="9"/>
      <c r="E66" s="10"/>
      <c r="F66" s="11"/>
      <c r="G66" s="11"/>
    </row>
    <row r="67" spans="2:7" x14ac:dyDescent="0.2">
      <c r="B67" t="str">
        <f>'Results Workspace'!D225</f>
        <v/>
      </c>
      <c r="C67" s="9"/>
      <c r="D67" s="9"/>
      <c r="E67" s="10"/>
      <c r="F67" s="11"/>
      <c r="G67" s="11"/>
    </row>
    <row r="68" spans="2:7" x14ac:dyDescent="0.2">
      <c r="C68" s="9"/>
      <c r="D68" s="9"/>
      <c r="E68" s="10"/>
      <c r="F68" s="11"/>
      <c r="G68" s="11"/>
    </row>
    <row r="69" spans="2:7" x14ac:dyDescent="0.2">
      <c r="C69" s="9"/>
      <c r="D69" s="9"/>
      <c r="E69" s="10"/>
      <c r="F69" s="11"/>
      <c r="G69" s="11"/>
    </row>
    <row r="70" spans="2:7" x14ac:dyDescent="0.2">
      <c r="C70" s="9"/>
      <c r="D70" s="9"/>
      <c r="E70" s="10"/>
      <c r="F70" s="11"/>
      <c r="G70" s="11"/>
    </row>
    <row r="71" spans="2:7" x14ac:dyDescent="0.2">
      <c r="C71" s="9"/>
      <c r="D71" s="9"/>
      <c r="E71" s="10"/>
      <c r="F71" s="11"/>
      <c r="G71" s="11"/>
    </row>
    <row r="72" spans="2:7" x14ac:dyDescent="0.2">
      <c r="C72" s="9"/>
      <c r="D72" s="9"/>
      <c r="E72" s="10"/>
      <c r="F72" s="11"/>
      <c r="G72" s="11"/>
    </row>
    <row r="73" spans="2:7" x14ac:dyDescent="0.2">
      <c r="C73" s="9"/>
      <c r="D73" s="9"/>
      <c r="E73" s="10"/>
      <c r="F73" s="11"/>
      <c r="G73" s="11"/>
    </row>
    <row r="74" spans="2:7" x14ac:dyDescent="0.2">
      <c r="C74" s="9"/>
      <c r="D74" s="9"/>
      <c r="E74" s="10"/>
      <c r="F74" s="11"/>
      <c r="G74" s="11"/>
    </row>
    <row r="75" spans="2:7" x14ac:dyDescent="0.2">
      <c r="C75" s="9"/>
      <c r="D75" s="9"/>
      <c r="E75" s="10"/>
      <c r="F75" s="11"/>
      <c r="G75" s="11"/>
    </row>
    <row r="76" spans="2:7" x14ac:dyDescent="0.2">
      <c r="C76" s="9"/>
      <c r="D76" s="9"/>
      <c r="E76" s="10"/>
      <c r="F76" s="11"/>
      <c r="G76" s="11"/>
    </row>
    <row r="77" spans="2:7" x14ac:dyDescent="0.2">
      <c r="C77" s="9"/>
      <c r="D77" s="9"/>
      <c r="E77" s="10"/>
      <c r="F77" s="11"/>
      <c r="G77" s="11"/>
    </row>
    <row r="78" spans="2:7" x14ac:dyDescent="0.2">
      <c r="C78" s="9"/>
      <c r="D78" s="9"/>
      <c r="E78" s="10"/>
      <c r="F78" s="11"/>
      <c r="G78" s="11"/>
    </row>
  </sheetData>
  <conditionalFormatting sqref="E32:E63 E66:E78">
    <cfRule type="cellIs" dxfId="1" priority="4" operator="greaterThan">
      <formula>0.01</formula>
    </cfRule>
  </conditionalFormatting>
  <conditionalFormatting sqref="F39:F49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50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"/>
  <sheetViews>
    <sheetView tabSelected="1" topLeftCell="A31" workbookViewId="0">
      <selection activeCell="J54" sqref="J54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 t="shared" ref="A2:C7" si="0">B33</f>
        <v>STD 10a</v>
      </c>
      <c r="B2">
        <f t="shared" si="0"/>
        <v>27.799346923828125</v>
      </c>
      <c r="C2">
        <f t="shared" si="0"/>
        <v>3.6712043100061584E-2</v>
      </c>
      <c r="D2" s="10">
        <f>C2/B2</f>
        <v>1.3206081135882356E-3</v>
      </c>
      <c r="E2">
        <v>0.1</v>
      </c>
      <c r="F2" s="9">
        <f>LOG(E2,10)</f>
        <v>-0.99999999999999978</v>
      </c>
    </row>
    <row r="3" spans="1:6" x14ac:dyDescent="0.2">
      <c r="A3" t="str">
        <f t="shared" si="0"/>
        <v>STD 20a</v>
      </c>
      <c r="B3">
        <f t="shared" si="0"/>
        <v>28.945344924926758</v>
      </c>
      <c r="C3">
        <f t="shared" si="0"/>
        <v>5.8465386973230657E-3</v>
      </c>
      <c r="D3" s="10">
        <f t="shared" ref="D3:D7" si="1">C3/B3</f>
        <v>2.0198545612383506E-4</v>
      </c>
      <c r="E3">
        <v>0.05</v>
      </c>
      <c r="F3" s="9">
        <f t="shared" ref="F3:F7" si="2">LOG(E3,10)</f>
        <v>-1.301029995663981</v>
      </c>
    </row>
    <row r="4" spans="1:6" x14ac:dyDescent="0.2">
      <c r="A4" t="str">
        <f t="shared" si="0"/>
        <v>STD 40a</v>
      </c>
      <c r="B4">
        <f t="shared" si="0"/>
        <v>29.874709447224934</v>
      </c>
      <c r="C4">
        <f t="shared" si="0"/>
        <v>0.10110428904742041</v>
      </c>
      <c r="D4" s="10">
        <f t="shared" si="1"/>
        <v>3.3842768990281179E-3</v>
      </c>
      <c r="E4">
        <v>2.5000000000000001E-2</v>
      </c>
      <c r="F4" s="9">
        <f t="shared" si="2"/>
        <v>-1.6020599913279623</v>
      </c>
    </row>
    <row r="5" spans="1:6" x14ac:dyDescent="0.2">
      <c r="A5" t="str">
        <f t="shared" si="0"/>
        <v>STD 80a</v>
      </c>
      <c r="B5">
        <f t="shared" si="0"/>
        <v>31.021127065022785</v>
      </c>
      <c r="C5">
        <f t="shared" si="0"/>
        <v>4.986145891392342E-2</v>
      </c>
      <c r="D5" s="10">
        <f t="shared" si="1"/>
        <v>1.6073387278743865E-3</v>
      </c>
      <c r="E5">
        <v>1.2500000000000001E-2</v>
      </c>
      <c r="F5" s="9">
        <f t="shared" si="2"/>
        <v>-1.9030899869919433</v>
      </c>
    </row>
    <row r="6" spans="1:6" x14ac:dyDescent="0.2">
      <c r="A6" t="str">
        <f t="shared" si="0"/>
        <v>STD 160a</v>
      </c>
      <c r="B6">
        <f t="shared" si="0"/>
        <v>31.881661732991535</v>
      </c>
      <c r="C6">
        <f t="shared" si="0"/>
        <v>6.9741530681552463E-2</v>
      </c>
      <c r="D6" s="10">
        <f t="shared" si="1"/>
        <v>2.1875124096616041E-3</v>
      </c>
      <c r="E6">
        <v>6.2500000000000003E-3</v>
      </c>
      <c r="F6" s="9">
        <f t="shared" si="2"/>
        <v>-2.2041199826559246</v>
      </c>
    </row>
    <row r="7" spans="1:6" x14ac:dyDescent="0.2">
      <c r="A7" t="str">
        <f t="shared" si="0"/>
        <v>STD 320a</v>
      </c>
      <c r="B7">
        <f t="shared" si="0"/>
        <v>33.336550394694008</v>
      </c>
      <c r="C7">
        <f t="shared" si="0"/>
        <v>0.2759368407050794</v>
      </c>
      <c r="D7" s="10">
        <f t="shared" si="1"/>
        <v>8.2773063630782479E-3</v>
      </c>
      <c r="E7">
        <v>3.1250000000000002E-3</v>
      </c>
      <c r="F7" s="9">
        <f t="shared" si="2"/>
        <v>-2.5051499783199058</v>
      </c>
    </row>
    <row r="28" spans="1:7" x14ac:dyDescent="0.2">
      <c r="B28" s="3" t="s">
        <v>446</v>
      </c>
      <c r="C28">
        <f>SLOPE(B2:B7,F2:F7)</f>
        <v>-3.5726278765292458</v>
      </c>
    </row>
    <row r="29" spans="1:7" x14ac:dyDescent="0.2">
      <c r="B29" s="13" t="s">
        <v>447</v>
      </c>
      <c r="C29" s="13">
        <f>10^(-1/C28)</f>
        <v>1.9050483654726436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Workspace'!D243</f>
        <v>Blank 1.a</v>
      </c>
      <c r="C32" s="9">
        <f>'Results Workspace'!E243</f>
        <v>40.1</v>
      </c>
      <c r="D32" s="9">
        <f>'Results Workspace'!F243</f>
        <v>0</v>
      </c>
      <c r="E32" s="10">
        <f>D32/C32</f>
        <v>0</v>
      </c>
      <c r="F32" s="9">
        <f>$C$29^($B$3-C32)</f>
        <v>7.5464908384199187E-4</v>
      </c>
      <c r="G32" s="9"/>
    </row>
    <row r="33" spans="2:7" x14ac:dyDescent="0.2">
      <c r="B33" t="str">
        <f>'Results Workspace'!D246</f>
        <v>STD 10a</v>
      </c>
      <c r="C33" s="9">
        <f>'Results Workspace'!E246</f>
        <v>27.799346923828125</v>
      </c>
      <c r="D33" s="9">
        <f>'Results Workspace'!F246</f>
        <v>3.6712043100061584E-2</v>
      </c>
      <c r="E33" s="10">
        <f>D33/C33</f>
        <v>1.3206081135882356E-3</v>
      </c>
      <c r="F33" s="9">
        <f>$C$29^($B$3-C33)</f>
        <v>2.0930120246144721</v>
      </c>
      <c r="G33" s="9"/>
    </row>
    <row r="34" spans="2:7" x14ac:dyDescent="0.2">
      <c r="B34" t="str">
        <f>'Results Workspace'!D249</f>
        <v>STD 20a</v>
      </c>
      <c r="C34" s="9">
        <f>'Results Workspace'!E249</f>
        <v>28.945344924926758</v>
      </c>
      <c r="D34" s="9">
        <f>'Results Workspace'!F249</f>
        <v>5.8465386973230657E-3</v>
      </c>
      <c r="E34" s="10">
        <f>D34/C34</f>
        <v>2.0198545612383506E-4</v>
      </c>
      <c r="F34" s="9">
        <f>$C$29^($B$3-C34)</f>
        <v>1</v>
      </c>
      <c r="G34" s="9"/>
    </row>
    <row r="35" spans="2:7" x14ac:dyDescent="0.2">
      <c r="B35" t="str">
        <f>'Results Workspace'!D252</f>
        <v>STD 40a</v>
      </c>
      <c r="C35" s="9">
        <f>'Results Workspace'!E252</f>
        <v>29.874709447224934</v>
      </c>
      <c r="D35" s="9">
        <f>'Results Workspace'!F252</f>
        <v>0.10110428904742041</v>
      </c>
      <c r="E35" s="10">
        <f>D35/C35</f>
        <v>3.3842768990281179E-3</v>
      </c>
      <c r="F35" s="9">
        <f>$C$29^($B$3-C35)</f>
        <v>0.54937044100471866</v>
      </c>
      <c r="G35" s="9"/>
    </row>
    <row r="36" spans="2:7" x14ac:dyDescent="0.2">
      <c r="B36" t="str">
        <f>'Results Workspace'!D255</f>
        <v>STD 80a</v>
      </c>
      <c r="C36" s="9">
        <f>'Results Workspace'!E255</f>
        <v>31.021127065022785</v>
      </c>
      <c r="D36" s="9">
        <f>'Results Workspace'!F255</f>
        <v>4.986145891392342E-2</v>
      </c>
      <c r="E36" s="10">
        <f>D36/C36</f>
        <v>1.6073387278743865E-3</v>
      </c>
      <c r="F36" s="9">
        <f>$C$29^($B$3-C36)</f>
        <v>0.26240742029181896</v>
      </c>
      <c r="G36" s="9"/>
    </row>
    <row r="37" spans="2:7" x14ac:dyDescent="0.2">
      <c r="B37" t="str">
        <f>'Results Workspace'!D258</f>
        <v>STD 160a</v>
      </c>
      <c r="C37" s="9">
        <f>'Results Workspace'!E258</f>
        <v>31.881661732991535</v>
      </c>
      <c r="D37" s="9">
        <f>'Results Workspace'!F258</f>
        <v>6.9741530681552463E-2</v>
      </c>
      <c r="E37" s="10">
        <f t="shared" ref="E37:E45" si="3">D37/C37</f>
        <v>2.1875124096616041E-3</v>
      </c>
      <c r="F37" s="9">
        <f t="shared" ref="F37:F65" si="4">$C$29^($B$3-C37)</f>
        <v>0.15069793101561307</v>
      </c>
      <c r="G37" s="9"/>
    </row>
    <row r="38" spans="2:7" x14ac:dyDescent="0.2">
      <c r="B38" t="str">
        <f>'Results Workspace'!D261</f>
        <v>STD 320a</v>
      </c>
      <c r="C38" s="9">
        <f>'Results Workspace'!E261</f>
        <v>33.336550394694008</v>
      </c>
      <c r="D38" s="9">
        <f>'Results Workspace'!F261</f>
        <v>0.2759368407050794</v>
      </c>
      <c r="E38" s="10">
        <f t="shared" si="3"/>
        <v>8.2773063630782479E-3</v>
      </c>
      <c r="F38" s="9">
        <f t="shared" si="4"/>
        <v>5.9003152351439346E-2</v>
      </c>
      <c r="G38" s="9"/>
    </row>
    <row r="39" spans="2:7" x14ac:dyDescent="0.2">
      <c r="B39" t="str">
        <f>'Results Workspace'!D264</f>
        <v>C1.a</v>
      </c>
      <c r="C39" s="9">
        <f>'Results Workspace'!E264</f>
        <v>30.033357620239258</v>
      </c>
      <c r="D39" s="9">
        <f>'Results Workspace'!F264</f>
        <v>9.5555569136923244E-2</v>
      </c>
      <c r="E39" s="10">
        <f t="shared" si="3"/>
        <v>3.181647897820424E-3</v>
      </c>
      <c r="F39" s="9">
        <f t="shared" si="4"/>
        <v>0.49597377327800107</v>
      </c>
      <c r="G39" s="9">
        <f>F39/'Housekeeper summary'!$E$4</f>
        <v>1.1007392582497011</v>
      </c>
    </row>
    <row r="40" spans="2:7" x14ac:dyDescent="0.2">
      <c r="B40" t="str">
        <f>'Results Workspace'!D267</f>
        <v>C2.a</v>
      </c>
      <c r="C40" s="9">
        <f>'Results Workspace'!E267</f>
        <v>30.195458094278973</v>
      </c>
      <c r="D40" s="9">
        <f>'Results Workspace'!F267</f>
        <v>0.19867518334346185</v>
      </c>
      <c r="E40" s="10">
        <f t="shared" si="3"/>
        <v>6.5796379946659643E-3</v>
      </c>
      <c r="F40" s="9">
        <f t="shared" si="4"/>
        <v>0.44677186459755597</v>
      </c>
      <c r="G40" s="9">
        <f>F40/'Housekeeper summary'!$E$4</f>
        <v>0.99154301565921632</v>
      </c>
    </row>
    <row r="41" spans="2:7" x14ac:dyDescent="0.2">
      <c r="B41" t="str">
        <f>'Results Workspace'!D270</f>
        <v>C3.a</v>
      </c>
      <c r="C41" s="9">
        <f>'Results Workspace'!E270</f>
        <v>30.071093241373699</v>
      </c>
      <c r="D41" s="9">
        <f>'Results Workspace'!F270</f>
        <v>0.2681712301818811</v>
      </c>
      <c r="E41" s="10">
        <f t="shared" si="3"/>
        <v>8.9179075742053266E-3</v>
      </c>
      <c r="F41" s="9">
        <f t="shared" si="4"/>
        <v>0.48405675484644417</v>
      </c>
      <c r="G41" s="9">
        <f>F41/'Housekeeper summary'!$E$4</f>
        <v>1.074291226648749</v>
      </c>
    </row>
    <row r="42" spans="2:7" x14ac:dyDescent="0.2">
      <c r="B42" t="str">
        <f>'Results Workspace'!D273</f>
        <v>C4.a</v>
      </c>
      <c r="C42" s="9">
        <f>'Results Workspace'!E273</f>
        <v>29.956874847412109</v>
      </c>
      <c r="D42" s="9">
        <f>'Results Workspace'!F273</f>
        <v>6.8091843244331818E-2</v>
      </c>
      <c r="E42" s="10">
        <f t="shared" si="3"/>
        <v>2.2729955508097362E-3</v>
      </c>
      <c r="F42" s="9">
        <f t="shared" si="4"/>
        <v>0.52103476225084633</v>
      </c>
      <c r="G42" s="9">
        <f>F42/'Housekeeper summary'!$E$4</f>
        <v>1.1563583572811964</v>
      </c>
    </row>
    <row r="43" spans="2:7" x14ac:dyDescent="0.2">
      <c r="B43" t="str">
        <f>'Results Workspace'!D276</f>
        <v>C5.a</v>
      </c>
      <c r="C43" s="9">
        <f>'Results Workspace'!E276</f>
        <v>29.967255274454754</v>
      </c>
      <c r="D43" s="9">
        <f>'Results Workspace'!F276</f>
        <v>4.994849642035145E-2</v>
      </c>
      <c r="E43" s="10">
        <f t="shared" si="3"/>
        <v>1.66676914395058E-3</v>
      </c>
      <c r="F43" s="9">
        <f t="shared" si="4"/>
        <v>0.51756053786818212</v>
      </c>
      <c r="G43" s="9">
        <f>F43/'Housekeeper summary'!$E$4</f>
        <v>1.1486478383465122</v>
      </c>
    </row>
    <row r="44" spans="2:7" x14ac:dyDescent="0.2">
      <c r="B44" t="str">
        <f>'Results Workspace'!D279</f>
        <v>C6.a</v>
      </c>
      <c r="C44" s="9">
        <f>'Results Workspace'!E279</f>
        <v>30.018430074055988</v>
      </c>
      <c r="D44" s="9">
        <f>'Results Workspace'!F279</f>
        <v>0.11670279809465604</v>
      </c>
      <c r="E44" s="10">
        <f t="shared" si="3"/>
        <v>3.8877049135064095E-3</v>
      </c>
      <c r="F44" s="9">
        <f t="shared" si="4"/>
        <v>0.50076852221317725</v>
      </c>
      <c r="G44" s="9">
        <f>F44/'Housekeeper summary'!$E$4</f>
        <v>1.1113804829893026</v>
      </c>
    </row>
    <row r="45" spans="2:7" x14ac:dyDescent="0.2">
      <c r="B45" t="str">
        <f>'Results Workspace'!D282</f>
        <v>C7.a</v>
      </c>
      <c r="C45" s="9">
        <f>'Results Workspace'!E282</f>
        <v>30.149345397949219</v>
      </c>
      <c r="D45" s="9">
        <f>'Results Workspace'!F282</f>
        <v>5.4166566981328865E-2</v>
      </c>
      <c r="E45" s="10">
        <f t="shared" si="3"/>
        <v>1.7966083928645865E-3</v>
      </c>
      <c r="F45" s="9">
        <f t="shared" si="4"/>
        <v>0.46024919367379091</v>
      </c>
      <c r="G45" s="9">
        <f>F45/'Housekeeper summary'!$E$4</f>
        <v>1.0214539222632368</v>
      </c>
    </row>
    <row r="46" spans="2:7" x14ac:dyDescent="0.2">
      <c r="B46" t="str">
        <f>'Results Workspace'!D285</f>
        <v>C8.a</v>
      </c>
      <c r="C46" s="9">
        <f>'Results Workspace'!E285</f>
        <v>29.800036112467449</v>
      </c>
      <c r="D46" s="9">
        <f>'Results Workspace'!F285</f>
        <v>6.4713430115988124E-2</v>
      </c>
      <c r="E46" s="10">
        <f>D46/C46</f>
        <v>2.1715889830386465E-3</v>
      </c>
      <c r="F46" s="9">
        <f t="shared" si="4"/>
        <v>0.57645684873946157</v>
      </c>
      <c r="G46" s="9">
        <f>F46/'Housekeeper summary'!$E$4</f>
        <v>1.279359349791207</v>
      </c>
    </row>
    <row r="47" spans="2:7" x14ac:dyDescent="0.2">
      <c r="B47" t="str">
        <f>'Results Workspace'!D288</f>
        <v>C9.a</v>
      </c>
      <c r="C47" s="9">
        <f>'Results Workspace'!E288</f>
        <v>29.877824147542317</v>
      </c>
      <c r="D47" s="9">
        <f>'Results Workspace'!F288</f>
        <v>0.1931345580750711</v>
      </c>
      <c r="E47" s="10">
        <f t="shared" ref="E47:E63" si="5">D47/C47</f>
        <v>6.4641440126742937E-3</v>
      </c>
      <c r="F47" s="9">
        <f t="shared" si="4"/>
        <v>0.54826871494320062</v>
      </c>
      <c r="G47" s="9">
        <f>F47/'Housekeeper summary'!$E$4</f>
        <v>1.2168000227500411</v>
      </c>
    </row>
    <row r="48" spans="2:7" x14ac:dyDescent="0.2">
      <c r="B48" t="str">
        <f>'Results Workspace'!D291</f>
        <v>O1.a</v>
      </c>
      <c r="C48" s="9">
        <f>'Results Workspace'!E291</f>
        <v>30.109227180480957</v>
      </c>
      <c r="D48" s="9">
        <f>'Results Workspace'!F291</f>
        <v>0.12754917144775391</v>
      </c>
      <c r="E48" s="10">
        <f t="shared" si="5"/>
        <v>4.2362153861737369E-3</v>
      </c>
      <c r="F48" s="9">
        <f t="shared" si="4"/>
        <v>0.47230480765573385</v>
      </c>
      <c r="G48" s="9">
        <f>F48/'Housekeeper summary'!$E$4</f>
        <v>1.0482095458610807</v>
      </c>
    </row>
    <row r="49" spans="2:7" x14ac:dyDescent="0.2">
      <c r="B49" t="str">
        <f>'Results Workspace'!D294</f>
        <v>O2.a</v>
      </c>
      <c r="C49" s="9">
        <f>'Results Workspace'!E294</f>
        <v>30.035664876302082</v>
      </c>
      <c r="D49" s="9">
        <f>'Results Workspace'!F294</f>
        <v>7.0538253398727532E-2</v>
      </c>
      <c r="E49" s="10">
        <f t="shared" si="5"/>
        <v>2.34848316790156E-3</v>
      </c>
      <c r="F49" s="9">
        <f t="shared" si="4"/>
        <v>0.49523678675445032</v>
      </c>
      <c r="G49" s="9">
        <f>F49/'Housekeeper summary'!$E$4</f>
        <v>1.0991036274099659</v>
      </c>
    </row>
    <row r="50" spans="2:7" x14ac:dyDescent="0.2">
      <c r="B50" t="str">
        <f>'Results Workspace'!D297</f>
        <v>O3.a</v>
      </c>
      <c r="C50" s="9">
        <f>'Results Workspace'!E297</f>
        <v>29.673756281534832</v>
      </c>
      <c r="D50" s="9">
        <f>'Results Workspace'!F297</f>
        <v>0.19107808584019942</v>
      </c>
      <c r="E50" s="10">
        <f t="shared" si="5"/>
        <v>6.4392955184814976E-3</v>
      </c>
      <c r="F50" s="9">
        <f t="shared" si="4"/>
        <v>0.62533579135057493</v>
      </c>
      <c r="G50" s="9">
        <f>F50/'Housekeeper summary'!$E$4</f>
        <v>1.3878388177239382</v>
      </c>
    </row>
    <row r="51" spans="2:7" x14ac:dyDescent="0.2">
      <c r="B51" t="str">
        <f>'Results Workspace'!D300</f>
        <v>O4.a</v>
      </c>
      <c r="C51" s="9">
        <f>'Results Workspace'!E300</f>
        <v>29.562442779541016</v>
      </c>
      <c r="D51" s="9">
        <f>'Results Workspace'!F300</f>
        <v>0.19340660533571682</v>
      </c>
      <c r="E51" s="10">
        <f t="shared" si="5"/>
        <v>6.5423079810429533E-3</v>
      </c>
      <c r="F51" s="9">
        <f t="shared" si="4"/>
        <v>0.67184734331967877</v>
      </c>
      <c r="G51" s="9">
        <f>F51/'Housekeeper summary'!$E$4</f>
        <v>1.4910642178819764</v>
      </c>
    </row>
    <row r="52" spans="2:7" x14ac:dyDescent="0.2">
      <c r="B52" t="str">
        <f>'Results Workspace'!D303</f>
        <v>O5.a</v>
      </c>
      <c r="C52" s="9">
        <f>'Results Workspace'!E303</f>
        <v>29.613819122314453</v>
      </c>
      <c r="D52" s="9">
        <f>'Results Workspace'!F303</f>
        <v>9.6498456423922865E-2</v>
      </c>
      <c r="E52" s="10">
        <f t="shared" si="5"/>
        <v>3.2585616878847566E-3</v>
      </c>
      <c r="F52" s="9">
        <f t="shared" si="4"/>
        <v>0.64996512921663641</v>
      </c>
      <c r="G52" s="9">
        <f>F52/'Housekeeper summary'!$E$4</f>
        <v>1.4424999319894984</v>
      </c>
    </row>
    <row r="53" spans="2:7" x14ac:dyDescent="0.2">
      <c r="B53" t="str">
        <f>'Results Workspace'!D306</f>
        <v>O6.a</v>
      </c>
      <c r="C53" s="9">
        <f>'Results Workspace'!E306</f>
        <v>29.680765787760418</v>
      </c>
      <c r="D53" s="9">
        <f>'Results Workspace'!F306</f>
        <v>0.14381271711023735</v>
      </c>
      <c r="E53" s="10">
        <f t="shared" si="5"/>
        <v>4.8453169348326589E-3</v>
      </c>
      <c r="F53" s="9">
        <f t="shared" si="4"/>
        <v>0.62251709699264623</v>
      </c>
      <c r="G53" s="9">
        <f>F53/'Housekeeper summary'!$E$4</f>
        <v>1.3815831491705932</v>
      </c>
    </row>
    <row r="54" spans="2:7" x14ac:dyDescent="0.2">
      <c r="B54" t="str">
        <f>'Results Workspace'!D309</f>
        <v>O7.a</v>
      </c>
      <c r="C54" s="9">
        <f>'Results Workspace'!E309</f>
        <v>29.970240910847981</v>
      </c>
      <c r="D54" s="9">
        <f>'Results Workspace'!F309</f>
        <v>0.1175974567574823</v>
      </c>
      <c r="E54" s="10">
        <f t="shared" si="5"/>
        <v>3.923807523179332E-3</v>
      </c>
      <c r="F54" s="9">
        <f t="shared" si="4"/>
        <v>0.51656557197022857</v>
      </c>
      <c r="G54" s="9">
        <f>F54/'Housekeeper summary'!$E$4</f>
        <v>1.146439661052663</v>
      </c>
    </row>
    <row r="55" spans="2:7" x14ac:dyDescent="0.2">
      <c r="B55" t="str">
        <f>'Results Workspace'!D312</f>
        <v>O8.a</v>
      </c>
      <c r="C55" s="9">
        <f>'Results Workspace'!E312</f>
        <v>29.419541676839192</v>
      </c>
      <c r="D55" s="9">
        <f>'Results Workspace'!F312</f>
        <v>5.1445109021406588E-2</v>
      </c>
      <c r="E55" s="10">
        <f t="shared" si="5"/>
        <v>1.7486713282792992E-3</v>
      </c>
      <c r="F55" s="9">
        <f t="shared" si="4"/>
        <v>0.73666405807451396</v>
      </c>
      <c r="G55" s="9">
        <f>F55/'Housekeeper summary'!$E$4</f>
        <v>1.6349151760684872</v>
      </c>
    </row>
    <row r="56" spans="2:7" x14ac:dyDescent="0.2">
      <c r="B56" t="str">
        <f>'Results Workspace'!D315</f>
        <v>O9.a</v>
      </c>
      <c r="C56" s="9">
        <f>'Results Workspace'!E315</f>
        <v>29.83738899230957</v>
      </c>
      <c r="D56" s="9">
        <f>'Results Workspace'!F315</f>
        <v>0.11805585799000012</v>
      </c>
      <c r="E56" s="10">
        <f t="shared" si="5"/>
        <v>3.956641716218145E-3</v>
      </c>
      <c r="F56" s="9">
        <f t="shared" si="4"/>
        <v>0.5627448223616448</v>
      </c>
      <c r="G56" s="9">
        <f>F56/'Housekeeper summary'!$E$4</f>
        <v>1.2489275677950282</v>
      </c>
    </row>
    <row r="57" spans="2:7" x14ac:dyDescent="0.2">
      <c r="B57" t="str">
        <f>'Results Workspace'!D318</f>
        <v>P1.a</v>
      </c>
      <c r="C57" s="9">
        <f>'Results Workspace'!E318</f>
        <v>29.874583562215168</v>
      </c>
      <c r="D57" s="9">
        <f>'Results Workspace'!F318</f>
        <v>0.12737052240285601</v>
      </c>
      <c r="E57" s="10">
        <f t="shared" si="5"/>
        <v>4.2635078791174157E-3</v>
      </c>
      <c r="F57" s="9">
        <f t="shared" si="4"/>
        <v>0.54941501533538872</v>
      </c>
      <c r="G57" s="9">
        <f>F57/'Housekeeper summary'!$E$4</f>
        <v>1.2193440642123328</v>
      </c>
    </row>
    <row r="58" spans="2:7" x14ac:dyDescent="0.2">
      <c r="B58" t="str">
        <f>'Results Workspace'!D321</f>
        <v>P2.a</v>
      </c>
      <c r="C58" s="9">
        <f>'Results Workspace'!E321</f>
        <v>29.855161666870117</v>
      </c>
      <c r="D58" s="9">
        <f>'Results Workspace'!F321</f>
        <v>0.14362897657582899</v>
      </c>
      <c r="E58" s="10">
        <f t="shared" si="5"/>
        <v>4.8108591130227299E-3</v>
      </c>
      <c r="F58" s="9">
        <f t="shared" si="4"/>
        <v>0.55633557198510342</v>
      </c>
      <c r="G58" s="9">
        <f>F58/'Housekeeper summary'!$E$4</f>
        <v>1.2347031997225326</v>
      </c>
    </row>
    <row r="59" spans="2:7" x14ac:dyDescent="0.2">
      <c r="B59" t="str">
        <f>'Results Workspace'!D324</f>
        <v>P3.a</v>
      </c>
      <c r="C59" s="9">
        <f>'Results Workspace'!E324</f>
        <v>30.106113433837891</v>
      </c>
      <c r="D59" s="9">
        <f>'Results Workspace'!F324</f>
        <v>0.1256519598444264</v>
      </c>
      <c r="E59" s="10">
        <f t="shared" si="5"/>
        <v>4.1736360331121108E-3</v>
      </c>
      <c r="F59" s="9">
        <f t="shared" si="4"/>
        <v>0.47325359612019691</v>
      </c>
      <c r="G59" s="9">
        <f>F59/'Housekeeper summary'!$E$4</f>
        <v>1.0503152392805262</v>
      </c>
    </row>
    <row r="60" spans="2:7" x14ac:dyDescent="0.2">
      <c r="B60" t="str">
        <f>'Results Workspace'!D327</f>
        <v>P4.a</v>
      </c>
      <c r="C60" s="9">
        <f>'Results Workspace'!E327</f>
        <v>30.021334330240887</v>
      </c>
      <c r="D60" s="9">
        <f>'Results Workspace'!F327</f>
        <v>0.10295175239953719</v>
      </c>
      <c r="E60" s="10">
        <f t="shared" si="5"/>
        <v>3.4292863623930441E-3</v>
      </c>
      <c r="F60" s="9">
        <f t="shared" si="4"/>
        <v>0.49983205310686674</v>
      </c>
      <c r="G60" s="9">
        <f>F60/'Housekeeper summary'!$E$4</f>
        <v>1.1093021305340081</v>
      </c>
    </row>
    <row r="61" spans="2:7" x14ac:dyDescent="0.2">
      <c r="B61" t="str">
        <f>'Results Workspace'!D330</f>
        <v>P5.a</v>
      </c>
      <c r="C61" s="9">
        <f>'Results Workspace'!E330</f>
        <v>29.630572001139324</v>
      </c>
      <c r="D61" s="9">
        <f>'Results Workspace'!F330</f>
        <v>5.048882162060165E-2</v>
      </c>
      <c r="E61" s="10">
        <f t="shared" si="5"/>
        <v>1.7039435357056323E-3</v>
      </c>
      <c r="F61" s="9">
        <f t="shared" si="4"/>
        <v>0.64298497682196099</v>
      </c>
      <c r="G61" s="9">
        <f>F61/'Housekeeper summary'!$E$4</f>
        <v>1.4270085326789983</v>
      </c>
    </row>
    <row r="62" spans="2:7" x14ac:dyDescent="0.2">
      <c r="B62" t="str">
        <f>'Results Workspace'!D333</f>
        <v>P6.a</v>
      </c>
      <c r="C62" s="9">
        <f>'Results Workspace'!E333</f>
        <v>29.819915771484375</v>
      </c>
      <c r="D62" s="9">
        <f>'Results Workspace'!F333</f>
        <v>0.10072234258838061</v>
      </c>
      <c r="E62" s="10">
        <f t="shared" si="5"/>
        <v>3.3776870250149223E-3</v>
      </c>
      <c r="F62" s="9">
        <f t="shared" si="4"/>
        <v>0.5691180598809672</v>
      </c>
      <c r="G62" s="9">
        <f>F62/'Housekeeper summary'!$E$4</f>
        <v>1.2630720107426918</v>
      </c>
    </row>
    <row r="63" spans="2:7" x14ac:dyDescent="0.2">
      <c r="B63" t="str">
        <f>'Results Workspace'!D336</f>
        <v>P7.a</v>
      </c>
      <c r="C63" s="9">
        <f>'Results Workspace'!E336</f>
        <v>29.877990086873371</v>
      </c>
      <c r="D63" s="9">
        <f>'Results Workspace'!F336</f>
        <v>7.950720109164254E-2</v>
      </c>
      <c r="E63" s="10">
        <f t="shared" si="5"/>
        <v>2.661062570155056E-3</v>
      </c>
      <c r="F63" s="9">
        <f t="shared" si="4"/>
        <v>0.5482100812186228</v>
      </c>
      <c r="G63" s="9">
        <f>F63/'Housekeeper summary'!$E$4</f>
        <v>1.2166698940094149</v>
      </c>
    </row>
    <row r="64" spans="2:7" x14ac:dyDescent="0.2">
      <c r="B64" t="str">
        <f>'Results Workspace'!D339</f>
        <v>P8.a</v>
      </c>
      <c r="C64" s="9">
        <f>'Results Workspace'!E339</f>
        <v>29.701754252115887</v>
      </c>
      <c r="D64" s="9">
        <f>'Results Workspace'!F339</f>
        <v>8.9600452015236601E-2</v>
      </c>
      <c r="E64" s="9">
        <f>'Results Workspace'!G193</f>
        <v>0</v>
      </c>
      <c r="F64" s="9">
        <f t="shared" si="4"/>
        <v>0.61415287084915549</v>
      </c>
      <c r="G64" s="9">
        <f>F64/'Housekeeper summary'!$E$4</f>
        <v>1.3630200061637185</v>
      </c>
    </row>
    <row r="65" spans="2:7" x14ac:dyDescent="0.2">
      <c r="B65" t="str">
        <f>'Results Workspace'!D342</f>
        <v>P9.a</v>
      </c>
      <c r="C65" s="9">
        <f>'Results Workspace'!E342</f>
        <v>29.826853434244793</v>
      </c>
      <c r="D65" s="9">
        <f>'Results Workspace'!F342</f>
        <v>5.0899363342554932E-2</v>
      </c>
      <c r="E65" s="9">
        <f>'Results Workspace'!G194</f>
        <v>0</v>
      </c>
      <c r="F65" s="9">
        <f t="shared" si="4"/>
        <v>0.56657900040873865</v>
      </c>
      <c r="G65" s="9">
        <f>F65/'Housekeeper summary'!$E$4</f>
        <v>1.2574369497965434</v>
      </c>
    </row>
    <row r="66" spans="2:7" x14ac:dyDescent="0.2">
      <c r="C66" s="9"/>
      <c r="D66" s="9"/>
      <c r="E66" s="10"/>
      <c r="F66" s="11"/>
      <c r="G66" s="11"/>
    </row>
    <row r="67" spans="2:7" x14ac:dyDescent="0.2">
      <c r="B67" t="str">
        <f>'Results Workspace'!D225</f>
        <v/>
      </c>
      <c r="C67" s="9"/>
      <c r="D67" s="9"/>
      <c r="E67" s="10"/>
      <c r="F67" s="11"/>
      <c r="G67" s="11"/>
    </row>
    <row r="68" spans="2:7" x14ac:dyDescent="0.2">
      <c r="C68" s="9"/>
      <c r="D68" s="9"/>
      <c r="E68" s="10"/>
      <c r="F68" s="11"/>
      <c r="G68" s="11"/>
    </row>
    <row r="69" spans="2:7" x14ac:dyDescent="0.2">
      <c r="C69" s="9"/>
      <c r="D69" s="9"/>
      <c r="E69" s="10"/>
      <c r="F69" s="11"/>
      <c r="G69" s="11"/>
    </row>
    <row r="70" spans="2:7" x14ac:dyDescent="0.2">
      <c r="C70" s="9"/>
      <c r="D70" s="9"/>
      <c r="E70" s="10"/>
      <c r="F70" s="11"/>
      <c r="G70" s="11"/>
    </row>
    <row r="71" spans="2:7" x14ac:dyDescent="0.2">
      <c r="C71" s="9"/>
      <c r="D71" s="9"/>
      <c r="E71" s="10"/>
      <c r="F71" s="11"/>
      <c r="G71" s="11"/>
    </row>
    <row r="72" spans="2:7" x14ac:dyDescent="0.2">
      <c r="C72" s="9"/>
      <c r="D72" s="9"/>
      <c r="E72" s="10"/>
      <c r="F72" s="11"/>
      <c r="G72" s="11"/>
    </row>
    <row r="73" spans="2:7" x14ac:dyDescent="0.2">
      <c r="C73" s="9"/>
      <c r="D73" s="9"/>
      <c r="E73" s="10"/>
      <c r="F73" s="11"/>
      <c r="G73" s="11"/>
    </row>
    <row r="74" spans="2:7" x14ac:dyDescent="0.2">
      <c r="C74" s="9"/>
      <c r="D74" s="9"/>
      <c r="E74" s="10"/>
      <c r="F74" s="11"/>
      <c r="G74" s="11"/>
    </row>
    <row r="75" spans="2:7" x14ac:dyDescent="0.2">
      <c r="C75" s="9"/>
      <c r="D75" s="9"/>
      <c r="E75" s="10"/>
      <c r="F75" s="11"/>
      <c r="G75" s="11"/>
    </row>
    <row r="76" spans="2:7" x14ac:dyDescent="0.2">
      <c r="C76" s="9"/>
      <c r="D76" s="9"/>
      <c r="E76" s="10"/>
      <c r="F76" s="11"/>
      <c r="G76" s="11"/>
    </row>
    <row r="77" spans="2:7" x14ac:dyDescent="0.2">
      <c r="C77" s="9"/>
      <c r="D77" s="9"/>
      <c r="E77" s="10"/>
      <c r="F77" s="11"/>
      <c r="G77" s="11"/>
    </row>
    <row r="78" spans="2:7" x14ac:dyDescent="0.2">
      <c r="C78" s="9"/>
      <c r="D78" s="9"/>
      <c r="E78" s="10"/>
      <c r="F78" s="11"/>
      <c r="G78" s="11"/>
    </row>
  </sheetData>
  <conditionalFormatting sqref="E32:E63 E66:E78">
    <cfRule type="cellIs" dxfId="0" priority="4" operator="greaterThan">
      <formula>0.01</formula>
    </cfRule>
  </conditionalFormatting>
  <conditionalFormatting sqref="F39:F48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49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I43"/>
  <sheetViews>
    <sheetView workbookViewId="0">
      <selection activeCell="F9" sqref="F9"/>
    </sheetView>
  </sheetViews>
  <sheetFormatPr defaultRowHeight="12.75" x14ac:dyDescent="0.2"/>
  <cols>
    <col min="1" max="1" width="17.85546875" customWidth="1"/>
    <col min="2" max="2" width="11" bestFit="1" customWidth="1"/>
    <col min="4" max="4" width="11" bestFit="1" customWidth="1"/>
    <col min="5" max="5" width="12" bestFit="1" customWidth="1"/>
    <col min="9" max="9" width="12" bestFit="1" customWidth="1"/>
  </cols>
  <sheetData>
    <row r="3" spans="1:5" x14ac:dyDescent="0.2">
      <c r="B3" s="15" t="s">
        <v>458</v>
      </c>
      <c r="C3" s="15" t="s">
        <v>459</v>
      </c>
      <c r="D3" s="15" t="s">
        <v>460</v>
      </c>
      <c r="E3" s="15" t="s">
        <v>454</v>
      </c>
    </row>
    <row r="4" spans="1:5" x14ac:dyDescent="0.2">
      <c r="A4" t="s">
        <v>462</v>
      </c>
      <c r="B4" s="9">
        <v>0.4263927293810692</v>
      </c>
      <c r="C4" s="9">
        <v>0.35252626341172855</v>
      </c>
      <c r="D4" s="9">
        <v>0.60858535781331602</v>
      </c>
      <c r="E4" s="16">
        <f t="shared" ref="E4:E30" si="0">10^((LOG(B4,10)+LOG(C4,10)+LOG(D4,10))/COUNT(B4:D4))</f>
        <v>0.45058243317918456</v>
      </c>
    </row>
    <row r="5" spans="1:5" x14ac:dyDescent="0.2">
      <c r="A5" t="s">
        <v>465</v>
      </c>
      <c r="B5" s="9">
        <v>0.31512549785862698</v>
      </c>
      <c r="C5" s="9">
        <v>0.44111181257832188</v>
      </c>
      <c r="D5" s="9">
        <v>0.52650694217891292</v>
      </c>
      <c r="E5" s="16">
        <f t="shared" si="0"/>
        <v>0.41829124836635861</v>
      </c>
    </row>
    <row r="6" spans="1:5" x14ac:dyDescent="0.2">
      <c r="A6" t="s">
        <v>468</v>
      </c>
      <c r="B6" s="9">
        <v>0.45273714210549171</v>
      </c>
      <c r="C6" s="9">
        <v>0.44945493334651887</v>
      </c>
      <c r="D6" s="9">
        <v>0.56496674937763469</v>
      </c>
      <c r="E6" s="16">
        <f t="shared" si="0"/>
        <v>0.48624116331946227</v>
      </c>
    </row>
    <row r="7" spans="1:5" x14ac:dyDescent="0.2">
      <c r="A7" t="s">
        <v>471</v>
      </c>
      <c r="B7" s="9">
        <v>0.3829501772573668</v>
      </c>
      <c r="C7" s="9">
        <v>0.46151957246172637</v>
      </c>
      <c r="D7" s="9">
        <v>0.54473382964366568</v>
      </c>
      <c r="E7" s="16">
        <f t="shared" si="0"/>
        <v>0.45832362958721334</v>
      </c>
    </row>
    <row r="8" spans="1:5" x14ac:dyDescent="0.2">
      <c r="A8" t="s">
        <v>474</v>
      </c>
      <c r="B8" s="9">
        <v>0.42833087959300731</v>
      </c>
      <c r="C8" s="9">
        <v>0.4233578833199082</v>
      </c>
      <c r="D8" s="9">
        <v>0.53523552420816256</v>
      </c>
      <c r="E8" s="16">
        <f t="shared" si="0"/>
        <v>0.45956187094870876</v>
      </c>
    </row>
    <row r="9" spans="1:5" x14ac:dyDescent="0.2">
      <c r="A9" t="s">
        <v>477</v>
      </c>
      <c r="B9" s="9">
        <v>0.35793999756923628</v>
      </c>
      <c r="C9" s="9">
        <v>0.38296223792145484</v>
      </c>
      <c r="D9" s="9">
        <v>0.57185694490684691</v>
      </c>
      <c r="E9" s="16">
        <f t="shared" si="0"/>
        <v>0.4279744682291246</v>
      </c>
    </row>
    <row r="10" spans="1:5" x14ac:dyDescent="0.2">
      <c r="A10" t="s">
        <v>480</v>
      </c>
      <c r="B10" s="9">
        <v>0.37340238439133594</v>
      </c>
      <c r="C10" s="9">
        <v>0.48233808107194415</v>
      </c>
      <c r="D10" s="9">
        <v>0.51357491955429913</v>
      </c>
      <c r="E10" s="16">
        <f t="shared" si="0"/>
        <v>0.45224886087578242</v>
      </c>
    </row>
    <row r="11" spans="1:5" x14ac:dyDescent="0.2">
      <c r="A11" t="s">
        <v>483</v>
      </c>
      <c r="B11" s="9">
        <v>0.35503258331734205</v>
      </c>
      <c r="C11" s="9">
        <v>0.61615231239907375</v>
      </c>
      <c r="D11" s="9">
        <v>0.73880118711128706</v>
      </c>
      <c r="E11" s="16">
        <f t="shared" si="0"/>
        <v>0.54470491404753041</v>
      </c>
    </row>
    <row r="12" spans="1:5" x14ac:dyDescent="0.2">
      <c r="A12" t="s">
        <v>486</v>
      </c>
      <c r="B12" s="9">
        <v>0.41592618918148794</v>
      </c>
      <c r="C12" s="9">
        <v>0.62216433510012503</v>
      </c>
      <c r="D12" s="9">
        <v>0.63444703130188929</v>
      </c>
      <c r="E12" s="16">
        <f t="shared" si="0"/>
        <v>0.54756907959345913</v>
      </c>
    </row>
    <row r="13" spans="1:5" x14ac:dyDescent="0.2">
      <c r="A13" t="s">
        <v>489</v>
      </c>
      <c r="B13" s="9">
        <v>0.45842475302599439</v>
      </c>
      <c r="C13" s="9">
        <v>0.43456039766823429</v>
      </c>
      <c r="D13" s="9">
        <v>0.55125832995824431</v>
      </c>
      <c r="E13" s="16">
        <f t="shared" si="0"/>
        <v>0.47887752708520864</v>
      </c>
    </row>
    <row r="14" spans="1:5" x14ac:dyDescent="0.2">
      <c r="A14" t="s">
        <v>491</v>
      </c>
      <c r="B14" s="9">
        <v>0.43374487761100955</v>
      </c>
      <c r="C14" s="9">
        <v>0.32980760784732899</v>
      </c>
      <c r="D14" s="9">
        <v>0.48402583318593206</v>
      </c>
      <c r="E14" s="16">
        <f t="shared" si="0"/>
        <v>0.41063363847723999</v>
      </c>
    </row>
    <row r="15" spans="1:5" x14ac:dyDescent="0.2">
      <c r="A15" t="s">
        <v>493</v>
      </c>
      <c r="B15" s="9">
        <v>0.40114007176242378</v>
      </c>
      <c r="C15" s="9">
        <v>0.42898410785963353</v>
      </c>
      <c r="D15" s="9">
        <v>0.5954090031020679</v>
      </c>
      <c r="E15" s="16">
        <f t="shared" si="0"/>
        <v>0.4679335842643591</v>
      </c>
    </row>
    <row r="16" spans="1:5" x14ac:dyDescent="0.2">
      <c r="A16" t="s">
        <v>495</v>
      </c>
      <c r="B16" s="9">
        <v>0.38460694456052319</v>
      </c>
      <c r="C16" s="9">
        <v>0.43705016982621253</v>
      </c>
      <c r="D16" s="9">
        <v>0.68012313086699372</v>
      </c>
      <c r="E16" s="16">
        <f t="shared" si="0"/>
        <v>0.48533914434315129</v>
      </c>
    </row>
    <row r="17" spans="1:8" x14ac:dyDescent="0.2">
      <c r="A17" t="s">
        <v>497</v>
      </c>
      <c r="B17" s="9">
        <v>0.39546471705695735</v>
      </c>
      <c r="C17" s="9">
        <v>0.41032003458357952</v>
      </c>
      <c r="D17" s="9">
        <v>0.53104973407749689</v>
      </c>
      <c r="E17" s="16">
        <f t="shared" si="0"/>
        <v>0.44169439365878643</v>
      </c>
    </row>
    <row r="18" spans="1:8" x14ac:dyDescent="0.2">
      <c r="A18" t="s">
        <v>499</v>
      </c>
      <c r="B18" s="9">
        <v>0.41179439627934949</v>
      </c>
      <c r="C18" s="9">
        <v>0.46220373689092681</v>
      </c>
      <c r="D18" s="9">
        <v>0.58844570778454464</v>
      </c>
      <c r="E18" s="16">
        <f t="shared" si="0"/>
        <v>0.48202928953778679</v>
      </c>
    </row>
    <row r="19" spans="1:8" x14ac:dyDescent="0.2">
      <c r="A19" t="s">
        <v>501</v>
      </c>
      <c r="B19" s="9">
        <v>0.27876595323904763</v>
      </c>
      <c r="C19" s="9">
        <v>0.45310017409530867</v>
      </c>
      <c r="D19" s="9">
        <v>0.50035950798811635</v>
      </c>
      <c r="E19" s="16">
        <f t="shared" si="0"/>
        <v>0.39832604620100848</v>
      </c>
    </row>
    <row r="20" spans="1:8" x14ac:dyDescent="0.2">
      <c r="A20" t="s">
        <v>503</v>
      </c>
      <c r="B20" s="9">
        <v>0.53438173502337782</v>
      </c>
      <c r="C20" s="9">
        <v>0.54285522939822561</v>
      </c>
      <c r="D20" s="9">
        <v>0.65415060642880629</v>
      </c>
      <c r="E20" s="16">
        <f t="shared" si="0"/>
        <v>0.57465138789348824</v>
      </c>
      <c r="F20" s="17"/>
    </row>
    <row r="21" spans="1:8" x14ac:dyDescent="0.2">
      <c r="A21" t="s">
        <v>505</v>
      </c>
      <c r="B21" s="9">
        <v>0.44651974869658745</v>
      </c>
      <c r="C21" s="9">
        <v>0.4563205644560675</v>
      </c>
      <c r="D21" s="9">
        <v>0.62138266724811442</v>
      </c>
      <c r="E21" s="16">
        <f t="shared" si="0"/>
        <v>0.50213822440021894</v>
      </c>
    </row>
    <row r="22" spans="1:8" x14ac:dyDescent="0.2">
      <c r="A22" t="s">
        <v>516</v>
      </c>
      <c r="B22" s="9">
        <v>0.5215632857774023</v>
      </c>
      <c r="C22" s="9">
        <v>0.50154744260201822</v>
      </c>
      <c r="D22" s="9">
        <v>0.62159443516135171</v>
      </c>
      <c r="E22" s="16">
        <f t="shared" si="0"/>
        <v>0.54581070624732975</v>
      </c>
      <c r="F22" s="17"/>
    </row>
    <row r="23" spans="1:8" x14ac:dyDescent="0.2">
      <c r="A23" t="s">
        <v>519</v>
      </c>
      <c r="B23" s="9">
        <v>0.40358335376353621</v>
      </c>
      <c r="C23" s="9">
        <v>0.42014964529139992</v>
      </c>
      <c r="D23" s="9">
        <v>0.61320818639350694</v>
      </c>
      <c r="E23" s="16">
        <f t="shared" si="0"/>
        <v>0.47023512184144328</v>
      </c>
    </row>
    <row r="24" spans="1:8" x14ac:dyDescent="0.2">
      <c r="A24" t="s">
        <v>522</v>
      </c>
      <c r="B24" s="9">
        <v>0.35086902471059467</v>
      </c>
      <c r="C24" s="9">
        <v>0.34358897258616505</v>
      </c>
      <c r="D24" s="9">
        <v>0.4945847920832751</v>
      </c>
      <c r="E24" s="16">
        <f t="shared" si="0"/>
        <v>0.39066844589617944</v>
      </c>
    </row>
    <row r="25" spans="1:8" x14ac:dyDescent="0.2">
      <c r="A25" t="s">
        <v>525</v>
      </c>
      <c r="B25" s="9">
        <v>0.44820160291616035</v>
      </c>
      <c r="C25" s="9">
        <v>0.40254511875348148</v>
      </c>
      <c r="D25" s="9">
        <v>0.54062764873146252</v>
      </c>
      <c r="E25" s="16">
        <f t="shared" si="0"/>
        <v>0.46032236332148435</v>
      </c>
    </row>
    <row r="26" spans="1:8" x14ac:dyDescent="0.2">
      <c r="A26" t="s">
        <v>528</v>
      </c>
      <c r="B26" s="9">
        <v>0.46135156132242333</v>
      </c>
      <c r="C26" s="9">
        <v>0.5266015647207386</v>
      </c>
      <c r="D26" s="9">
        <v>0.65653135622649028</v>
      </c>
      <c r="E26" s="16">
        <f t="shared" si="0"/>
        <v>0.54232114477437343</v>
      </c>
    </row>
    <row r="27" spans="1:8" x14ac:dyDescent="0.2">
      <c r="A27" t="s">
        <v>531</v>
      </c>
      <c r="B27" s="9">
        <v>0.36911988654952566</v>
      </c>
      <c r="C27" s="9">
        <v>0.40468721873428687</v>
      </c>
      <c r="D27" s="9">
        <v>0.55027134516921539</v>
      </c>
      <c r="E27" s="16">
        <f t="shared" si="0"/>
        <v>0.43479840603462372</v>
      </c>
    </row>
    <row r="28" spans="1:8" x14ac:dyDescent="0.2">
      <c r="A28" t="s">
        <v>534</v>
      </c>
      <c r="B28" s="9">
        <v>0.36964436422123836</v>
      </c>
      <c r="C28" s="9">
        <v>0.50859191167028639</v>
      </c>
      <c r="D28" s="9">
        <v>0.55080792646133947</v>
      </c>
      <c r="E28" s="16">
        <f t="shared" si="0"/>
        <v>0.46958899073136146</v>
      </c>
    </row>
    <row r="29" spans="1:8" x14ac:dyDescent="0.2">
      <c r="A29" t="s">
        <v>537</v>
      </c>
      <c r="B29" s="9">
        <v>0.50392046075908659</v>
      </c>
      <c r="C29" s="9">
        <v>0.42418869891589794</v>
      </c>
      <c r="D29" s="9">
        <v>0.6564932342266091</v>
      </c>
      <c r="E29" s="16">
        <f t="shared" si="0"/>
        <v>0.51965739714350379</v>
      </c>
    </row>
    <row r="30" spans="1:8" x14ac:dyDescent="0.2">
      <c r="A30" t="s">
        <v>540</v>
      </c>
      <c r="B30" s="9">
        <v>0.24389984093536096</v>
      </c>
      <c r="C30" s="9">
        <v>0.56725695609248283</v>
      </c>
      <c r="D30" s="9">
        <v>0.75712783711723308</v>
      </c>
      <c r="E30" s="16">
        <f t="shared" si="0"/>
        <v>0.47139704283553019</v>
      </c>
      <c r="G30" s="9"/>
    </row>
    <row r="31" spans="1:8" x14ac:dyDescent="0.2">
      <c r="B31" s="9"/>
      <c r="C31" s="9"/>
      <c r="D31" s="9"/>
      <c r="E31" s="16"/>
    </row>
    <row r="32" spans="1:8" x14ac:dyDescent="0.2">
      <c r="B32" s="9"/>
      <c r="C32" s="9"/>
      <c r="D32" s="9"/>
      <c r="E32" s="16"/>
      <c r="G32" s="9"/>
      <c r="H32" s="9"/>
    </row>
    <row r="33" spans="2:9" x14ac:dyDescent="0.2">
      <c r="B33" s="9"/>
      <c r="C33" s="9"/>
      <c r="D33" s="9"/>
      <c r="E33" s="16"/>
      <c r="H33" s="9"/>
    </row>
    <row r="34" spans="2:9" x14ac:dyDescent="0.2">
      <c r="B34" s="9"/>
      <c r="C34" s="9"/>
      <c r="D34" s="9"/>
      <c r="E34" s="16"/>
      <c r="I34" s="9"/>
    </row>
    <row r="35" spans="2:9" x14ac:dyDescent="0.2">
      <c r="B35" s="9"/>
      <c r="C35" s="9"/>
      <c r="D35" s="9"/>
      <c r="E35" s="16"/>
      <c r="I35" s="9"/>
    </row>
    <row r="36" spans="2:9" x14ac:dyDescent="0.2">
      <c r="B36" s="9"/>
      <c r="C36" s="9"/>
      <c r="D36" s="9"/>
      <c r="E36" s="16"/>
    </row>
    <row r="37" spans="2:9" x14ac:dyDescent="0.2">
      <c r="B37" s="9"/>
      <c r="C37" s="9"/>
      <c r="D37" s="9"/>
      <c r="E37" s="16"/>
    </row>
    <row r="38" spans="2:9" x14ac:dyDescent="0.2">
      <c r="B38" s="9"/>
      <c r="C38" s="9"/>
      <c r="D38" s="9"/>
      <c r="E38" s="16"/>
    </row>
    <row r="39" spans="2:9" x14ac:dyDescent="0.2">
      <c r="B39" s="9"/>
      <c r="C39" s="9"/>
      <c r="D39" s="9"/>
      <c r="E39" s="16"/>
    </row>
    <row r="40" spans="2:9" x14ac:dyDescent="0.2">
      <c r="B40" s="9"/>
      <c r="C40" s="9"/>
      <c r="D40" s="9"/>
      <c r="E40" s="16"/>
    </row>
    <row r="41" spans="2:9" x14ac:dyDescent="0.2">
      <c r="B41" s="9"/>
      <c r="C41" s="9"/>
      <c r="D41" s="9"/>
      <c r="E41" s="16"/>
    </row>
    <row r="42" spans="2:9" x14ac:dyDescent="0.2">
      <c r="B42" s="9"/>
      <c r="C42" s="9"/>
      <c r="D42" s="9"/>
      <c r="E42" s="16"/>
    </row>
    <row r="43" spans="2:9" x14ac:dyDescent="0.2">
      <c r="B43" s="9"/>
      <c r="C43" s="9"/>
      <c r="D43" s="9"/>
      <c r="E43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843020E9AC346A7BC6FB9403466EF" ma:contentTypeVersion="12" ma:contentTypeDescription="Create a new document." ma:contentTypeScope="" ma:versionID="578653b8c9b41c7bd6c2c610bfac6220">
  <xsd:schema xmlns:xsd="http://www.w3.org/2001/XMLSchema" xmlns:xs="http://www.w3.org/2001/XMLSchema" xmlns:p="http://schemas.microsoft.com/office/2006/metadata/properties" xmlns:ns3="a12465b3-53fd-4011-ac82-318cbef37ee8" xmlns:ns4="d83c9396-f88b-4aa6-a325-46c01cfa2fee" targetNamespace="http://schemas.microsoft.com/office/2006/metadata/properties" ma:root="true" ma:fieldsID="3164482b91d75302c3c47b0a56499592" ns3:_="" ns4:_="">
    <xsd:import namespace="a12465b3-53fd-4011-ac82-318cbef37ee8"/>
    <xsd:import namespace="d83c9396-f88b-4aa6-a325-46c01cfa2f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65b3-53fd-4011-ac82-318cbef37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c9396-f88b-4aa6-a325-46c01cfa2f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5E84A3-B48F-40C7-A230-D237868F7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65b3-53fd-4011-ac82-318cbef37ee8"/>
    <ds:schemaRef ds:uri="d83c9396-f88b-4aa6-a325-46c01cfa2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0E9F5C-D2E2-41A0-B821-2C4695826131}">
  <ds:schemaRefs>
    <ds:schemaRef ds:uri="http://schemas.microsoft.com/office/2006/documentManagement/types"/>
    <ds:schemaRef ds:uri="a12465b3-53fd-4011-ac82-318cbef37ee8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d83c9396-f88b-4aa6-a325-46c01cfa2fee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EE6DF5-D13A-4667-AA7B-B40F9E0C78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Exported Results</vt:lpstr>
      <vt:lpstr>Results Workspace</vt:lpstr>
      <vt:lpstr>ATG5</vt:lpstr>
      <vt:lpstr>ATG7</vt:lpstr>
      <vt:lpstr>ATG10</vt:lpstr>
      <vt:lpstr>Housekeeper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Gamwell</dc:creator>
  <cp:lastModifiedBy>Felix Westcott</cp:lastModifiedBy>
  <dcterms:created xsi:type="dcterms:W3CDTF">2021-06-25T13:56:25Z</dcterms:created>
  <dcterms:modified xsi:type="dcterms:W3CDTF">2022-02-25T10:23:14Z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0x0101007BF843020E9AC346A7BC6FB9403466EF</vt:lpwstr>
  </property>
</Properties>
</file>