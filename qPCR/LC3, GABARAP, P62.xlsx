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qPCR/"/>
    </mc:Choice>
  </mc:AlternateContent>
  <xr:revisionPtr revIDLastSave="256" documentId="8_{1B0C598B-3C15-4727-BCD6-83BC4859914F}" xr6:coauthVersionLast="47" xr6:coauthVersionMax="47" xr10:uidLastSave="{A5875660-86C8-4F90-B131-204DD8A1C062}"/>
  <bookViews>
    <workbookView xWindow="-120" yWindow="-120" windowWidth="29040" windowHeight="15840" activeTab="2" xr2:uid="{00000000-000D-0000-FFFF-FFFF00000000}"/>
  </bookViews>
  <sheets>
    <sheet name="Exported Results" sheetId="1" r:id="rId1"/>
    <sheet name="Results Workspace" sheetId="2" r:id="rId2"/>
    <sheet name="LC3" sheetId="4" r:id="rId3"/>
    <sheet name="GABARAP" sheetId="5" r:id="rId4"/>
    <sheet name="P62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/>
  <c r="C12" i="2"/>
  <c r="C13" i="2"/>
  <c r="C15" i="2"/>
  <c r="C16" i="2"/>
  <c r="C17" i="2"/>
  <c r="C18" i="2"/>
  <c r="C20" i="2"/>
  <c r="C21" i="2"/>
  <c r="C22" i="2"/>
  <c r="C66" i="2"/>
  <c r="C67" i="2"/>
  <c r="C68" i="2"/>
  <c r="C69" i="2"/>
  <c r="C70" i="2"/>
  <c r="C71" i="2"/>
  <c r="C24" i="2"/>
  <c r="C25" i="2"/>
  <c r="C26" i="2"/>
  <c r="C28" i="2"/>
  <c r="C29" i="2"/>
  <c r="C31" i="2"/>
  <c r="C32" i="2"/>
  <c r="C33" i="2"/>
  <c r="C35" i="2"/>
  <c r="C36" i="2"/>
  <c r="C37" i="2"/>
  <c r="C38" i="2"/>
  <c r="C39" i="2"/>
  <c r="C40" i="2"/>
  <c r="C41" i="2"/>
  <c r="C43" i="2"/>
  <c r="C44" i="2"/>
  <c r="C45" i="2"/>
  <c r="C46" i="2"/>
  <c r="C47" i="2"/>
  <c r="C49" i="2"/>
  <c r="C50" i="2"/>
  <c r="C51" i="2"/>
  <c r="C52" i="2"/>
  <c r="C53" i="2"/>
  <c r="C54" i="2"/>
  <c r="C56" i="2"/>
  <c r="C57" i="2"/>
  <c r="C58" i="2"/>
  <c r="C59" i="2"/>
  <c r="C60" i="2"/>
  <c r="C61" i="2"/>
  <c r="C62" i="2"/>
  <c r="C63" i="2"/>
  <c r="C64" i="2"/>
  <c r="C65" i="2"/>
  <c r="C72" i="2"/>
  <c r="C73" i="2"/>
  <c r="C74" i="2"/>
  <c r="C75" i="2"/>
  <c r="C76" i="2"/>
  <c r="C77" i="2"/>
  <c r="C78" i="2"/>
  <c r="C79" i="2"/>
  <c r="C80" i="2"/>
  <c r="C81" i="2"/>
  <c r="C83" i="2"/>
  <c r="C84" i="2"/>
  <c r="C86" i="2"/>
  <c r="C87" i="2"/>
  <c r="C88" i="2"/>
  <c r="C89" i="2"/>
  <c r="C90" i="2"/>
  <c r="C91" i="2"/>
  <c r="C92" i="2"/>
  <c r="C93" i="2"/>
  <c r="C94" i="2"/>
  <c r="C95" i="2"/>
  <c r="C96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5" i="2"/>
  <c r="C136" i="2"/>
  <c r="C139" i="2"/>
  <c r="C140" i="2"/>
  <c r="C141" i="2"/>
  <c r="C142" i="2"/>
  <c r="C143" i="2"/>
  <c r="C144" i="2"/>
  <c r="C145" i="2"/>
  <c r="C148" i="2"/>
  <c r="C149" i="2"/>
  <c r="C150" i="2"/>
  <c r="C151" i="2"/>
  <c r="C152" i="2"/>
  <c r="C153" i="2"/>
  <c r="C154" i="2"/>
  <c r="C155" i="2"/>
  <c r="C156" i="2"/>
  <c r="C159" i="2"/>
  <c r="C160" i="2"/>
  <c r="C163" i="2"/>
  <c r="C164" i="2"/>
  <c r="C165" i="2"/>
  <c r="C166" i="2"/>
  <c r="C167" i="2"/>
  <c r="C168" i="2"/>
  <c r="C171" i="2"/>
  <c r="C172" i="2"/>
  <c r="C173" i="2"/>
  <c r="C174" i="2"/>
  <c r="C175" i="2"/>
  <c r="C176" i="2"/>
  <c r="C177" i="2"/>
  <c r="C178" i="2"/>
  <c r="C179" i="2"/>
  <c r="C180" i="2"/>
  <c r="C182" i="2"/>
  <c r="C183" i="2"/>
  <c r="C184" i="2"/>
  <c r="C187" i="2"/>
  <c r="C188" i="2"/>
  <c r="C189" i="2"/>
  <c r="C190" i="2"/>
  <c r="C191" i="2"/>
  <c r="C192" i="2"/>
  <c r="C194" i="2"/>
  <c r="C195" i="2"/>
  <c r="C196" i="2"/>
  <c r="C197" i="2"/>
  <c r="C198" i="2"/>
  <c r="C200" i="2"/>
  <c r="C201" i="2"/>
  <c r="C202" i="2"/>
  <c r="C203" i="2"/>
  <c r="C204" i="2"/>
  <c r="C206" i="2"/>
  <c r="C207" i="2"/>
  <c r="C208" i="2"/>
  <c r="C211" i="2"/>
  <c r="C212" i="2"/>
  <c r="C213" i="2"/>
  <c r="C214" i="2"/>
  <c r="C215" i="2"/>
  <c r="C216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E4" i="8" l="1"/>
  <c r="D244" i="2"/>
  <c r="D245" i="2"/>
  <c r="D246" i="2"/>
  <c r="D247" i="2"/>
  <c r="D248" i="2"/>
  <c r="D249" i="2"/>
  <c r="B34" i="9" s="1"/>
  <c r="A3" i="9" s="1"/>
  <c r="D250" i="2"/>
  <c r="D251" i="2"/>
  <c r="D252" i="2"/>
  <c r="D253" i="2"/>
  <c r="D254" i="2"/>
  <c r="D255" i="2"/>
  <c r="B36" i="9" s="1"/>
  <c r="A5" i="9" s="1"/>
  <c r="D256" i="2"/>
  <c r="D257" i="2"/>
  <c r="D258" i="2"/>
  <c r="D259" i="2"/>
  <c r="D260" i="2"/>
  <c r="D261" i="2"/>
  <c r="D262" i="2"/>
  <c r="D263" i="2"/>
  <c r="D264" i="2"/>
  <c r="B39" i="9" s="1"/>
  <c r="D265" i="2"/>
  <c r="D266" i="2"/>
  <c r="D267" i="2"/>
  <c r="D268" i="2"/>
  <c r="D269" i="2"/>
  <c r="D270" i="2"/>
  <c r="D271" i="2"/>
  <c r="D272" i="2"/>
  <c r="D273" i="2"/>
  <c r="B42" i="9" s="1"/>
  <c r="D274" i="2"/>
  <c r="D275" i="2"/>
  <c r="D276" i="2"/>
  <c r="D277" i="2"/>
  <c r="D278" i="2"/>
  <c r="D279" i="2"/>
  <c r="B44" i="9" s="1"/>
  <c r="D280" i="2"/>
  <c r="D281" i="2"/>
  <c r="D282" i="2"/>
  <c r="B45" i="9" s="1"/>
  <c r="D283" i="2"/>
  <c r="D284" i="2"/>
  <c r="D285" i="2"/>
  <c r="D286" i="2"/>
  <c r="D287" i="2"/>
  <c r="D288" i="2"/>
  <c r="B47" i="9" s="1"/>
  <c r="D289" i="2"/>
  <c r="D290" i="2"/>
  <c r="D291" i="2"/>
  <c r="B48" i="9" s="1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32" i="9" s="1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B36" i="5" s="1"/>
  <c r="D136" i="2"/>
  <c r="D137" i="2"/>
  <c r="D138" i="2"/>
  <c r="B37" i="5" s="1"/>
  <c r="D139" i="2"/>
  <c r="D140" i="2"/>
  <c r="D141" i="2"/>
  <c r="D142" i="2"/>
  <c r="D143" i="2"/>
  <c r="D144" i="2"/>
  <c r="D145" i="2"/>
  <c r="D146" i="2"/>
  <c r="D147" i="2"/>
  <c r="B40" i="5" s="1"/>
  <c r="D148" i="2"/>
  <c r="D149" i="2"/>
  <c r="D150" i="2"/>
  <c r="B41" i="5" s="1"/>
  <c r="D151" i="2"/>
  <c r="D152" i="2"/>
  <c r="D153" i="2"/>
  <c r="B42" i="5" s="1"/>
  <c r="D154" i="2"/>
  <c r="D155" i="2"/>
  <c r="D156" i="2"/>
  <c r="B43" i="5" s="1"/>
  <c r="D157" i="2"/>
  <c r="D158" i="2"/>
  <c r="D159" i="2"/>
  <c r="B44" i="5" s="1"/>
  <c r="D160" i="2"/>
  <c r="D161" i="2"/>
  <c r="D162" i="2"/>
  <c r="B45" i="5" s="1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B60" i="5" s="1"/>
  <c r="D208" i="2"/>
  <c r="D209" i="2"/>
  <c r="D210" i="2"/>
  <c r="B61" i="5" s="1"/>
  <c r="D211" i="2"/>
  <c r="D212" i="2"/>
  <c r="D213" i="2"/>
  <c r="B62" i="5" s="1"/>
  <c r="D214" i="2"/>
  <c r="D215" i="2"/>
  <c r="D216" i="2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C4" i="2" s="1"/>
  <c r="B5" i="2"/>
  <c r="C5" i="2" s="1"/>
  <c r="B6" i="2"/>
  <c r="C6" i="2" s="1"/>
  <c r="B7" i="2"/>
  <c r="C7" i="2" s="1"/>
  <c r="B8" i="2"/>
  <c r="C8" i="2" s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3" i="2"/>
  <c r="B33" i="5"/>
  <c r="B39" i="5"/>
  <c r="B47" i="5"/>
  <c r="B48" i="5"/>
  <c r="B56" i="5"/>
  <c r="B63" i="5"/>
  <c r="B65" i="5"/>
  <c r="B49" i="9"/>
  <c r="B46" i="9"/>
  <c r="B43" i="9"/>
  <c r="B41" i="9"/>
  <c r="B40" i="9"/>
  <c r="B38" i="9"/>
  <c r="A7" i="9" s="1"/>
  <c r="B37" i="9"/>
  <c r="A6" i="9" s="1"/>
  <c r="B35" i="9"/>
  <c r="A4" i="9" s="1"/>
  <c r="B33" i="9"/>
  <c r="A2" i="9" s="1"/>
  <c r="E65" i="9"/>
  <c r="E64" i="9"/>
  <c r="F7" i="9"/>
  <c r="F6" i="9"/>
  <c r="F5" i="9"/>
  <c r="F4" i="9"/>
  <c r="F3" i="9"/>
  <c r="F2" i="9"/>
  <c r="E64" i="5"/>
  <c r="E65" i="5"/>
  <c r="B54" i="5"/>
  <c r="B52" i="5"/>
  <c r="B49" i="5"/>
  <c r="B46" i="5"/>
  <c r="B38" i="5"/>
  <c r="B67" i="5" l="1"/>
  <c r="B51" i="5"/>
  <c r="B53" i="5"/>
  <c r="B64" i="5"/>
  <c r="B55" i="5"/>
  <c r="B57" i="5"/>
  <c r="E6" i="2"/>
  <c r="F6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5" s="1"/>
  <c r="E43" i="9"/>
  <c r="D36" i="5"/>
  <c r="D50" i="5"/>
  <c r="C47" i="5"/>
  <c r="D40" i="5"/>
  <c r="C53" i="5"/>
  <c r="D47" i="5"/>
  <c r="C40" i="5"/>
  <c r="D53" i="5"/>
  <c r="C51" i="5"/>
  <c r="D57" i="5"/>
  <c r="C34" i="5"/>
  <c r="B3" i="5" s="1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34" i="5" l="1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<sst xmlns="http://schemas.openxmlformats.org/spreadsheetml/2006/main" count="2033" uniqueCount="551">
  <si>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</si>
  <si>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</si>
  <si>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</si>
  <si>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</si>
  <si>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</si>
  <si>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</si>
  <si>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</si>
  <si>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</si>
  <si>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</si>
  <si>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</si>
  <si>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</si>
  <si>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</si>
  <si>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</si>
  <si>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</si>
  <si>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</si>
  <si>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</si>
  <si>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</si>
  <si>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</si>
  <si>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</si>
  <si>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</si>
  <si>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</si>
  <si>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</si>
  <si>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</si>
  <si>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</si>
  <si>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</si>
  <si>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</si>
  <si>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</si>
  <si>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</si>
  <si>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</si>
  <si>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</si>
  <si>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</si>
  <si>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</si>
  <si>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</si>
  <si>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</si>
  <si>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</si>
  <si>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</si>
  <si>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</si>
  <si>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</si>
  <si>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</si>
  <si>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</si>
  <si>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</si>
  <si>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</si>
  <si>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</si>
  <si>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</si>
  <si>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</si>
  <si>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</si>
  <si>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</si>
  <si>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</si>
  <si>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</si>
  <si>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</si>
  <si>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</si>
  <si>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</si>
  <si>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</si>
  <si>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</si>
  <si>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</si>
  <si>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</si>
  <si>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</si>
  <si>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</si>
  <si>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</si>
  <si>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</si>
  <si>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</si>
  <si>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</si>
  <si>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</si>
  <si>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</si>
  <si>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</si>
  <si>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</si>
  <si>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</si>
  <si>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</si>
  <si>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</si>
  <si>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</si>
  <si>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</si>
  <si>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</si>
  <si>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</si>
  <si>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</si>
  <si>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</si>
  <si>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</si>
  <si>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</si>
  <si>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</si>
  <si>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</si>
  <si>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</si>
  <si>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</si>
  <si>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</si>
  <si>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</si>
  <si>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</si>
  <si>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</si>
  <si>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</si>
  <si>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</si>
  <si>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</si>
  <si>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</si>
  <si>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</si>
  <si>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</si>
  <si>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</si>
  <si>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</si>
  <si>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</si>
  <si>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</si>
  <si>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</si>
  <si>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</si>
  <si>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</si>
  <si>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</si>
  <si>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</si>
  <si>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</si>
  <si>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</si>
  <si>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</si>
  <si>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</si>
  <si>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</si>
  <si>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</si>
  <si>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</si>
  <si>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</si>
  <si>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</si>
  <si>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</si>
  <si>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</si>
  <si>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</si>
  <si>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</si>
  <si>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</si>
  <si>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</si>
  <si>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</si>
  <si>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</si>
  <si>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</si>
  <si>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</si>
  <si>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</si>
  <si>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</si>
  <si>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</si>
  <si>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</si>
  <si>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</si>
  <si>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</si>
  <si>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</si>
  <si>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</si>
  <si>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</si>
  <si>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</si>
  <si>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</si>
  <si>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</si>
  <si>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</si>
  <si>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</si>
  <si>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</si>
  <si>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</si>
  <si>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</si>
  <si>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</si>
  <si>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</si>
  <si>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</si>
  <si>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</si>
  <si>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</si>
  <si>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</si>
  <si>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</si>
  <si>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</si>
  <si>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</si>
  <si>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</si>
  <si>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</si>
  <si>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</si>
  <si>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</si>
  <si>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</si>
  <si>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</si>
  <si>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</si>
  <si>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</si>
  <si>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</si>
  <si>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</si>
  <si>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</si>
  <si>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</si>
  <si>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</si>
  <si>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</si>
  <si>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</si>
  <si>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</si>
  <si>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</si>
  <si>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</si>
  <si>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</si>
  <si>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</si>
  <si>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</si>
  <si>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</si>
  <si>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</si>
  <si>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</si>
  <si>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</si>
  <si>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</si>
  <si>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</si>
  <si>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</si>
  <si>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</si>
  <si>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</si>
  <si>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</si>
  <si>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</si>
  <si>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</si>
  <si>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</si>
  <si>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</si>
  <si>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</si>
  <si>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</si>
  <si>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</si>
  <si>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</si>
  <si>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</si>
  <si>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</si>
  <si>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</si>
  <si>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</si>
  <si>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</si>
  <si>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</si>
  <si>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</si>
  <si>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</si>
  <si>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</si>
  <si>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</si>
  <si>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</si>
  <si>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</si>
  <si>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</si>
  <si>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</si>
  <si>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</si>
  <si>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</si>
  <si>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</si>
  <si>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</si>
  <si>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</si>
  <si>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</si>
  <si>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</si>
  <si>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</si>
  <si>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</si>
  <si>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</si>
  <si>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</si>
  <si>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</si>
  <si>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</si>
  <si>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</si>
  <si>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</si>
  <si>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</si>
  <si>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</si>
  <si>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</si>
  <si>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</si>
  <si>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</si>
  <si>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</si>
  <si>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</si>
  <si>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</si>
  <si>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</si>
  <si>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</si>
  <si>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</si>
  <si>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</si>
  <si>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</si>
  <si>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</si>
  <si>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</si>
  <si>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</si>
  <si>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</si>
  <si>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</si>
  <si>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</si>
  <si>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</si>
  <si>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</si>
  <si>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</si>
  <si>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</si>
  <si>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</si>
  <si>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</si>
  <si>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</si>
  <si>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</si>
  <si>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</si>
  <si>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</si>
  <si>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</si>
  <si>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</si>
  <si>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</si>
  <si>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</si>
  <si>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</si>
  <si>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</si>
  <si>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</si>
  <si>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</si>
  <si>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</si>
  <si>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</si>
  <si>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</si>
  <si>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</si>
  <si>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</si>
  <si>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</si>
  <si>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</si>
  <si>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</si>
  <si>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</si>
  <si>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</si>
  <si>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</si>
  <si>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</si>
  <si>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</si>
  <si>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</si>
  <si>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</si>
  <si>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</si>
  <si>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</si>
  <si>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</si>
  <si>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</si>
  <si>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</si>
  <si>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</si>
  <si>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</si>
  <si>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</si>
  <si>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</si>
  <si>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</si>
  <si>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</si>
  <si>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</si>
  <si>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</si>
  <si>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</si>
  <si>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</si>
  <si>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</si>
  <si>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</si>
  <si>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</si>
  <si>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</si>
  <si>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</si>
  <si>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</si>
  <si>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</si>
  <si>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</si>
  <si>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</si>
  <si>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</si>
  <si>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</si>
  <si>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</si>
  <si>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</si>
  <si>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</si>
  <si>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</si>
  <si>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</si>
  <si>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</si>
  <si>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</si>
  <si>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</si>
  <si>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</si>
  <si>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</si>
  <si>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</si>
  <si>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</si>
  <si>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</si>
  <si>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</si>
  <si>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</si>
  <si>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</si>
  <si>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</si>
  <si>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</si>
  <si>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</si>
  <si>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</si>
  <si>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</si>
  <si>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</si>
  <si>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</si>
  <si>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</si>
  <si>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</si>
  <si>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</si>
  <si>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</si>
  <si>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</si>
  <si>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</si>
  <si>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</si>
  <si>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</si>
  <si>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</si>
  <si>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</si>
  <si>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</si>
  <si>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</si>
  <si>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</si>
  <si>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</si>
  <si>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</si>
  <si>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</si>
  <si>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</si>
  <si>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</si>
  <si>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</si>
  <si>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</si>
  <si>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</si>
  <si>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</si>
  <si>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</si>
  <si>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</si>
  <si>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</si>
  <si>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</si>
  <si>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</si>
  <si>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</si>
  <si>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</si>
  <si>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</si>
  <si>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</si>
  <si>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</si>
  <si>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</si>
  <si>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</si>
  <si>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</si>
  <si>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</si>
  <si>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</si>
  <si>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</si>
  <si>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</si>
  <si>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</si>
  <si>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</si>
  <si>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</si>
  <si>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</si>
  <si>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</si>
  <si>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</si>
  <si>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</si>
  <si>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</si>
  <si>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</si>
  <si>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</si>
  <si>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</si>
  <si>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</si>
  <si>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</si>
  <si>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</si>
  <si>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</si>
  <si>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</si>
  <si>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</si>
  <si>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</si>
  <si>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</si>
  <si>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</si>
  <si>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</si>
  <si>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</si>
  <si>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</si>
  <si>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</si>
  <si>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</si>
  <si>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</si>
  <si>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</si>
  <si>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</si>
  <si>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</si>
  <si>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</si>
  <si>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</si>
  <si>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</si>
  <si>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</si>
  <si>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</si>
  <si>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</si>
  <si>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</si>
  <si>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</si>
  <si>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</si>
  <si>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</si>
  <si>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</si>
  <si>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</si>
  <si>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</si>
  <si>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</si>
  <si>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</si>
  <si>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</si>
  <si>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</si>
  <si>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</si>
  <si>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</si>
  <si>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</si>
  <si>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</si>
  <si>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</si>
  <si>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</si>
  <si>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</si>
  <si>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</si>
  <si>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</si>
  <si>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</si>
  <si>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</si>
  <si>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</si>
  <si>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</si>
  <si>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</si>
  <si>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</si>
  <si>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</si>
  <si>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</si>
  <si>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</si>
  <si>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</si>
  <si>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</si>
  <si>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</si>
  <si>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</si>
  <si>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</si>
  <si>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</si>
  <si>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</si>
  <si>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</si>
  <si>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</si>
  <si>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</si>
  <si>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</si>
  <si>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</si>
  <si>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</si>
  <si>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</si>
  <si>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</si>
  <si>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</si>
  <si>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</si>
  <si>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</si>
  <si>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</si>
  <si>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</si>
  <si>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</si>
  <si>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</si>
  <si>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</si>
  <si>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</si>
  <si>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</si>
  <si>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</si>
  <si>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</si>
  <si>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</si>
  <si>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</si>
  <si>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</si>
  <si>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</si>
  <si>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</si>
  <si>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</si>
  <si>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</si>
  <si>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</si>
  <si>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</si>
  <si>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</si>
  <si>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</si>
  <si>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</si>
  <si>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</si>
  <si>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</si>
  <si>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</si>
  <si>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</si>
  <si>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</si>
  <si>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01-13-2022</t>
  </si>
  <si>
    <t>C1.a</t>
  </si>
  <si>
    <t>C1.b</t>
  </si>
  <si>
    <t>C1.c</t>
  </si>
  <si>
    <t>C2.a</t>
  </si>
  <si>
    <t>C2.b</t>
  </si>
  <si>
    <t>C2.c</t>
  </si>
  <si>
    <t>C3.a</t>
  </si>
  <si>
    <t>C3.b</t>
  </si>
  <si>
    <t>C3.c</t>
  </si>
  <si>
    <t>C4.a</t>
  </si>
  <si>
    <t>C4.b</t>
  </si>
  <si>
    <t>C4.c</t>
  </si>
  <si>
    <t>C5.a</t>
  </si>
  <si>
    <t>C5.b</t>
  </si>
  <si>
    <t>C5.c</t>
  </si>
  <si>
    <t>C6.a</t>
  </si>
  <si>
    <t>C6.b</t>
  </si>
  <si>
    <t>C6.c</t>
  </si>
  <si>
    <t>C7.a</t>
  </si>
  <si>
    <t>C7.b</t>
  </si>
  <si>
    <t>C7.c</t>
  </si>
  <si>
    <t>C8.a</t>
  </si>
  <si>
    <t>C8.b</t>
  </si>
  <si>
    <t>C8.c</t>
  </si>
  <si>
    <t>C9.a</t>
  </si>
  <si>
    <t>C9.b</t>
  </si>
  <si>
    <t>C9.c</t>
  </si>
  <si>
    <t>O1.a</t>
  </si>
  <si>
    <t>O1.b</t>
  </si>
  <si>
    <t>O2.a</t>
  </si>
  <si>
    <t>O2.b</t>
  </si>
  <si>
    <t>O3.a</t>
  </si>
  <si>
    <t>O3.b</t>
  </si>
  <si>
    <t>O4.a</t>
  </si>
  <si>
    <t>O4.b</t>
  </si>
  <si>
    <t>O5.a</t>
  </si>
  <si>
    <t>O5.b</t>
  </si>
  <si>
    <t>O6.a</t>
  </si>
  <si>
    <t>O6.b</t>
  </si>
  <si>
    <t>O7.a</t>
  </si>
  <si>
    <t>O7.b</t>
  </si>
  <si>
    <t>O8.a</t>
  </si>
  <si>
    <t>O8.b</t>
  </si>
  <si>
    <t>O9.a</t>
  </si>
  <si>
    <t>O9.b</t>
  </si>
  <si>
    <t>O1.c</t>
  </si>
  <si>
    <t>O2.c</t>
  </si>
  <si>
    <t>O3.c</t>
  </si>
  <si>
    <t>O4.c</t>
  </si>
  <si>
    <t>O5.c</t>
  </si>
  <si>
    <t>O6.c</t>
  </si>
  <si>
    <t>O7.c</t>
  </si>
  <si>
    <t>O8.c</t>
  </si>
  <si>
    <t>O9.c</t>
  </si>
  <si>
    <t>P1.a</t>
  </si>
  <si>
    <t>P1.b</t>
  </si>
  <si>
    <t>P1.c</t>
  </si>
  <si>
    <t>P2.a</t>
  </si>
  <si>
    <t>P2.b</t>
  </si>
  <si>
    <t>P2.c</t>
  </si>
  <si>
    <t>P3.a</t>
  </si>
  <si>
    <t>P3.b</t>
  </si>
  <si>
    <t>P3.c</t>
  </si>
  <si>
    <t>P4.a</t>
  </si>
  <si>
    <t>P4.b</t>
  </si>
  <si>
    <t>P4.c</t>
  </si>
  <si>
    <t>P5.a</t>
  </si>
  <si>
    <t>P5.b</t>
  </si>
  <si>
    <t>P5.c</t>
  </si>
  <si>
    <t>P6.a</t>
  </si>
  <si>
    <t>P6.b</t>
  </si>
  <si>
    <t>P6.c</t>
  </si>
  <si>
    <t>P7.a</t>
  </si>
  <si>
    <t>P7.b</t>
  </si>
  <si>
    <t>P7.c</t>
  </si>
  <si>
    <t>P8.a</t>
  </si>
  <si>
    <t>P8.b</t>
  </si>
  <si>
    <t>P8.c</t>
  </si>
  <si>
    <t>P9.a</t>
  </si>
  <si>
    <t>P9.b</t>
  </si>
  <si>
    <t>P9.c</t>
  </si>
  <si>
    <t xml:space="preserve"> </t>
  </si>
  <si>
    <t>2022-02-24 11:46:50 AM GMT</t>
  </si>
  <si>
    <t>D:\Users\Administrator\Desktop\FELIX\Felix OPLA vs POLA 2.eds</t>
  </si>
  <si>
    <t>Felix OPLA vs POLA 2</t>
  </si>
  <si>
    <t>2022-02-24 12:45:21 PM GMT</t>
  </si>
  <si>
    <t>LC3</t>
  </si>
  <si>
    <t>GABARAP</t>
  </si>
  <si>
    <t>P62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</si>
</sst>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165" fontId="7" fillId="7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0" fontId="0" fillId="0" borderId="0" xfId="0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'LC3'!$B$2:$B$7</c:f>
              <c:numCache>
                <c:formatCode>General</c:formatCode>
                <c:ptCount val="6"/>
                <c:pt idx="0">
                  <c:v>32.270379384358726</c:v>
                </c:pt>
                <c:pt idx="1">
                  <c:v>33.343776702880859</c:v>
                </c:pt>
                <c:pt idx="2">
                  <c:v>35.071157455444336</c:v>
                </c:pt>
                <c:pt idx="3">
                  <c:v>36.079327901204429</c:v>
                </c:pt>
                <c:pt idx="4">
                  <c:v>36.016374588012695</c:v>
                </c:pt>
                <c:pt idx="5">
                  <c:v>37.220500946044922</c:v>
                </c:pt>
              </c:numCache>
            </c:numRef>
          </c:xVal>
          <c:yVal>
            <c:numRef>
              <c:f>'LC3'!$F$2:$F$7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GABARAP!$B$2:$B$7</c:f>
              <c:numCache>
                <c:formatCode>General</c:formatCode>
                <c:ptCount val="6"/>
                <c:pt idx="0">
                  <c:v>23.054658253987629</c:v>
                </c:pt>
                <c:pt idx="1">
                  <c:v>24.267371495564777</c:v>
                </c:pt>
                <c:pt idx="2">
                  <c:v>25.346165657043457</c:v>
                </c:pt>
                <c:pt idx="3">
                  <c:v>26.28581714630127</c:v>
                </c:pt>
                <c:pt idx="4">
                  <c:v>27.511431694030762</c:v>
                </c:pt>
                <c:pt idx="5">
                  <c:v>28.530122756958008</c:v>
                </c:pt>
              </c:numCache>
            </c:numRef>
          </c:xVal>
          <c:yVal>
            <c:numRef>
              <c:f>GABARAP!$F$2:$F$7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'P62'!$B$2:$B$7</c:f>
              <c:numCache>
                <c:formatCode>General</c:formatCode>
                <c:ptCount val="6"/>
                <c:pt idx="0">
                  <c:v>24.888776779174805</c:v>
                </c:pt>
                <c:pt idx="1">
                  <c:v>25.808697382609051</c:v>
                </c:pt>
                <c:pt idx="2">
                  <c:v>26.983888626098633</c:v>
                </c:pt>
                <c:pt idx="3">
                  <c:v>27.963738123575848</c:v>
                </c:pt>
                <c:pt idx="4">
                  <c:v>29.043430964152019</c:v>
                </c:pt>
                <c:pt idx="5">
                  <c:v>30.318076451619465</c:v>
                </c:pt>
              </c:numCache>
            </c:numRef>
          </c:xVal>
          <c:yVal>
            <c:numRef>
              <c:f>'P62'!$F$2:$F$7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0.4263927293810692</c:v>
                </c:pt>
                <c:pt idx="1">
                  <c:v>0.31512549785862698</c:v>
                </c:pt>
                <c:pt idx="2">
                  <c:v>0.45273714210549171</c:v>
                </c:pt>
                <c:pt idx="3">
                  <c:v>0.3829501772573668</c:v>
                </c:pt>
                <c:pt idx="4">
                  <c:v>0.42833087959300731</c:v>
                </c:pt>
                <c:pt idx="5">
                  <c:v>0.35793999756923628</c:v>
                </c:pt>
                <c:pt idx="6">
                  <c:v>0.37340238439133594</c:v>
                </c:pt>
                <c:pt idx="7">
                  <c:v>0.35503258331734205</c:v>
                </c:pt>
                <c:pt idx="8">
                  <c:v>0.41592618918148794</c:v>
                </c:pt>
                <c:pt idx="9">
                  <c:v>0.45842475302599439</c:v>
                </c:pt>
                <c:pt idx="10">
                  <c:v>0.43374487761100955</c:v>
                </c:pt>
                <c:pt idx="11">
                  <c:v>0.40114007176242378</c:v>
                </c:pt>
                <c:pt idx="12">
                  <c:v>0.38460694456052319</c:v>
                </c:pt>
                <c:pt idx="13">
                  <c:v>0.39546471705695735</c:v>
                </c:pt>
                <c:pt idx="14">
                  <c:v>0.41179439627934949</c:v>
                </c:pt>
                <c:pt idx="15">
                  <c:v>0.27876595323904763</c:v>
                </c:pt>
                <c:pt idx="16">
                  <c:v>0.53438173502337782</c:v>
                </c:pt>
                <c:pt idx="17">
                  <c:v>0.44651974869658745</c:v>
                </c:pt>
                <c:pt idx="18">
                  <c:v>0.5215632857774023</c:v>
                </c:pt>
                <c:pt idx="19">
                  <c:v>0.40358335376353621</c:v>
                </c:pt>
                <c:pt idx="20">
                  <c:v>0.35086902471059467</c:v>
                </c:pt>
                <c:pt idx="21">
                  <c:v>0.44820160291616035</c:v>
                </c:pt>
                <c:pt idx="22">
                  <c:v>0.46135156132242333</c:v>
                </c:pt>
                <c:pt idx="23">
                  <c:v>0.36911988654952566</c:v>
                </c:pt>
                <c:pt idx="24">
                  <c:v>0.36964436422123836</c:v>
                </c:pt>
                <c:pt idx="25">
                  <c:v>0.50392046075908659</c:v>
                </c:pt>
                <c:pt idx="26">
                  <c:v>0.24389984093536096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0.35252626341172855</c:v>
                </c:pt>
                <c:pt idx="1">
                  <c:v>0.44111181257832188</c:v>
                </c:pt>
                <c:pt idx="2">
                  <c:v>0.44945493334651887</c:v>
                </c:pt>
                <c:pt idx="3">
                  <c:v>0.46151957246172637</c:v>
                </c:pt>
                <c:pt idx="4">
                  <c:v>0.4233578833199082</c:v>
                </c:pt>
                <c:pt idx="5">
                  <c:v>0.38296223792145484</c:v>
                </c:pt>
                <c:pt idx="6">
                  <c:v>0.48233808107194415</c:v>
                </c:pt>
                <c:pt idx="7">
                  <c:v>0.61615231239907375</c:v>
                </c:pt>
                <c:pt idx="8">
                  <c:v>0.62216433510012503</c:v>
                </c:pt>
                <c:pt idx="9">
                  <c:v>0.43456039766823429</c:v>
                </c:pt>
                <c:pt idx="10">
                  <c:v>0.32980760784732899</c:v>
                </c:pt>
                <c:pt idx="11">
                  <c:v>0.42898410785963353</c:v>
                </c:pt>
                <c:pt idx="12">
                  <c:v>0.43705016982621253</c:v>
                </c:pt>
                <c:pt idx="13">
                  <c:v>0.41032003458357952</c:v>
                </c:pt>
                <c:pt idx="14">
                  <c:v>0.46220373689092681</c:v>
                </c:pt>
                <c:pt idx="15">
                  <c:v>0.45310017409530867</c:v>
                </c:pt>
                <c:pt idx="16">
                  <c:v>0.54285522939822561</c:v>
                </c:pt>
                <c:pt idx="17">
                  <c:v>0.4563205644560675</c:v>
                </c:pt>
                <c:pt idx="18">
                  <c:v>0.50154744260201822</c:v>
                </c:pt>
                <c:pt idx="19">
                  <c:v>0.42014964529139992</c:v>
                </c:pt>
                <c:pt idx="20">
                  <c:v>0.34358897258616505</c:v>
                </c:pt>
                <c:pt idx="21">
                  <c:v>0.40254511875348148</c:v>
                </c:pt>
                <c:pt idx="22">
                  <c:v>0.5266015647207386</c:v>
                </c:pt>
                <c:pt idx="23">
                  <c:v>0.40468721873428687</c:v>
                </c:pt>
                <c:pt idx="24">
                  <c:v>0.50859191167028639</c:v>
                </c:pt>
                <c:pt idx="25">
                  <c:v>0.42418869891589794</c:v>
                </c:pt>
                <c:pt idx="26">
                  <c:v>0.56725695609248283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0.60858535781331602</c:v>
                </c:pt>
                <c:pt idx="1">
                  <c:v>0.52650694217891292</c:v>
                </c:pt>
                <c:pt idx="2">
                  <c:v>0.56496674937763469</c:v>
                </c:pt>
                <c:pt idx="3">
                  <c:v>0.54473382964366568</c:v>
                </c:pt>
                <c:pt idx="4">
                  <c:v>0.53523552420816256</c:v>
                </c:pt>
                <c:pt idx="5">
                  <c:v>0.57185694490684691</c:v>
                </c:pt>
                <c:pt idx="6">
                  <c:v>0.51357491955429913</c:v>
                </c:pt>
                <c:pt idx="7">
                  <c:v>0.73880118711128706</c:v>
                </c:pt>
                <c:pt idx="8">
                  <c:v>0.63444703130188929</c:v>
                </c:pt>
                <c:pt idx="9">
                  <c:v>0.55125832995824431</c:v>
                </c:pt>
                <c:pt idx="10">
                  <c:v>0.48402583318593206</c:v>
                </c:pt>
                <c:pt idx="11">
                  <c:v>0.5954090031020679</c:v>
                </c:pt>
                <c:pt idx="12">
                  <c:v>0.68012313086699372</c:v>
                </c:pt>
                <c:pt idx="13">
                  <c:v>0.53104973407749689</c:v>
                </c:pt>
                <c:pt idx="14">
                  <c:v>0.58844570778454464</c:v>
                </c:pt>
                <c:pt idx="15">
                  <c:v>0.50035950798811635</c:v>
                </c:pt>
                <c:pt idx="16">
                  <c:v>0.65415060642880629</c:v>
                </c:pt>
                <c:pt idx="17">
                  <c:v>0.62138266724811442</c:v>
                </c:pt>
                <c:pt idx="18">
                  <c:v>0.62159443516135171</c:v>
                </c:pt>
                <c:pt idx="19">
                  <c:v>0.61320818639350694</c:v>
                </c:pt>
                <c:pt idx="20">
                  <c:v>0.4945847920832751</c:v>
                </c:pt>
                <c:pt idx="21">
                  <c:v>0.54062764873146252</c:v>
                </c:pt>
                <c:pt idx="22">
                  <c:v>0.65653135622649028</c:v>
                </c:pt>
                <c:pt idx="23">
                  <c:v>0.55027134516921539</c:v>
                </c:pt>
                <c:pt idx="24">
                  <c:v>0.55080792646133947</c:v>
                </c:pt>
                <c:pt idx="25">
                  <c:v>0.6564932342266091</c:v>
                </c:pt>
                <c:pt idx="26">
                  <c:v>0.75712783711723308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0.45058243317918456</c:v>
                </c:pt>
                <c:pt idx="1">
                  <c:v>0.41829124836635861</c:v>
                </c:pt>
                <c:pt idx="2">
                  <c:v>0.48624116331946227</c:v>
                </c:pt>
                <c:pt idx="3">
                  <c:v>0.45832362958721334</c:v>
                </c:pt>
                <c:pt idx="4">
                  <c:v>0.45956187094870876</c:v>
                </c:pt>
                <c:pt idx="5">
                  <c:v>0.4279744682291246</c:v>
                </c:pt>
                <c:pt idx="6">
                  <c:v>0.45224886087578242</c:v>
                </c:pt>
                <c:pt idx="7">
                  <c:v>0.54470491404753041</c:v>
                </c:pt>
                <c:pt idx="8">
                  <c:v>0.54756907959345913</c:v>
                </c:pt>
                <c:pt idx="9">
                  <c:v>0.47887752708520864</c:v>
                </c:pt>
                <c:pt idx="10">
                  <c:v>0.41063363847723999</c:v>
                </c:pt>
                <c:pt idx="11">
                  <c:v>0.4679335842643591</c:v>
                </c:pt>
                <c:pt idx="12">
                  <c:v>0.48533914434315129</c:v>
                </c:pt>
                <c:pt idx="13">
                  <c:v>0.44169439365878643</c:v>
                </c:pt>
                <c:pt idx="14">
                  <c:v>0.48202928953778679</c:v>
                </c:pt>
                <c:pt idx="15">
                  <c:v>0.39832604620100848</c:v>
                </c:pt>
                <c:pt idx="16">
                  <c:v>0.57465138789348824</c:v>
                </c:pt>
                <c:pt idx="17">
                  <c:v>0.50213822440021894</c:v>
                </c:pt>
                <c:pt idx="18">
                  <c:v>0.54581070624732975</c:v>
                </c:pt>
                <c:pt idx="19">
                  <c:v>0.47023512184144328</c:v>
                </c:pt>
                <c:pt idx="20">
                  <c:v>0.39066844589617944</c:v>
                </c:pt>
                <c:pt idx="21">
                  <c:v>0.46032236332148435</c:v>
                </c:pt>
                <c:pt idx="22">
                  <c:v>0.54232114477437343</c:v>
                </c:pt>
                <c:pt idx="23">
                  <c:v>0.43479840603462372</c:v>
                </c:pt>
                <c:pt idx="24">
                  <c:v>0.46958899073136146</c:v>
                </c:pt>
                <c:pt idx="25">
                  <c:v>0.51965739714350379</c:v>
                </c:pt>
                <c:pt idx="26">
                  <c:v>0.47139704283553019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</xdr:row>
      <xdr:rowOff>28575</xdr:rowOff>
    </xdr:from>
    <xdr:to>
      <xdr:col>5</xdr:col>
      <xdr:colOff>1019175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49" workbookViewId="0">
      <selection activeCell="F18" sqref="F18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461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544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545</v>
      </c>
    </row>
    <row r="29" spans="1:2" s="2" customFormat="1" x14ac:dyDescent="0.2">
      <c r="A29" s="2" t="s">
        <v>31</v>
      </c>
      <c r="B29" s="2" t="s">
        <v>546</v>
      </c>
    </row>
    <row r="30" spans="1:2" s="2" customFormat="1" x14ac:dyDescent="0.2">
      <c r="A30" s="2" t="s">
        <v>32</v>
      </c>
      <c r="B30" s="2" t="s">
        <v>547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548</v>
      </c>
      <c r="D42" s="1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548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548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548</v>
      </c>
      <c r="D45" s="1">
        <v>32.110305786132813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548</v>
      </c>
      <c r="D46" s="1">
        <v>32.416736602783203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548</v>
      </c>
      <c r="D47" s="1">
        <v>32.284095764160156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548</v>
      </c>
      <c r="D48" s="1">
        <v>34.321380615234375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548</v>
      </c>
      <c r="D49" s="1">
        <v>33.354896545410156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548</v>
      </c>
      <c r="D50" s="1">
        <v>33.332656860351563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548</v>
      </c>
      <c r="D51" s="1">
        <v>35.167087554931641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548</v>
      </c>
      <c r="D52" s="1">
        <v>34.975227355957031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548</v>
      </c>
      <c r="D53" s="1">
        <v>34.643657684326172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548</v>
      </c>
      <c r="D54" s="1">
        <v>36.926029205322266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548</v>
      </c>
      <c r="D55" s="1">
        <v>35.966106414794922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548</v>
      </c>
      <c r="D56" s="1">
        <v>35.345848083496094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548</v>
      </c>
      <c r="D57" s="1">
        <v>36.320671081542969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548</v>
      </c>
      <c r="D58" s="1">
        <v>38.275249481201172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548</v>
      </c>
      <c r="D59" s="1">
        <v>35.712078094482422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548</v>
      </c>
      <c r="D60" s="1">
        <v>37.868499755859375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548</v>
      </c>
      <c r="D61" s="1">
        <v>36.572502136230469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548</v>
      </c>
      <c r="D62" s="1" t="s">
        <v>55</v>
      </c>
      <c r="H62" s="3" t="s">
        <v>435</v>
      </c>
    </row>
    <row r="63" spans="1:10" x14ac:dyDescent="0.2">
      <c r="A63" t="s">
        <v>76</v>
      </c>
      <c r="B63" s="15" t="s">
        <v>462</v>
      </c>
      <c r="C63" t="s">
        <v>548</v>
      </c>
      <c r="D63" s="1">
        <v>34.839084625244141</v>
      </c>
      <c r="H63" s="15" t="s">
        <v>462</v>
      </c>
      <c r="J63" s="3"/>
    </row>
    <row r="64" spans="1:10" x14ac:dyDescent="0.2">
      <c r="A64" t="s">
        <v>77</v>
      </c>
      <c r="B64" s="15" t="s">
        <v>463</v>
      </c>
      <c r="C64" t="s">
        <v>548</v>
      </c>
      <c r="D64" s="1">
        <v>35.544376373291016</v>
      </c>
      <c r="H64" s="15" t="s">
        <v>463</v>
      </c>
      <c r="J64" s="3"/>
    </row>
    <row r="65" spans="1:10" x14ac:dyDescent="0.2">
      <c r="A65" t="s">
        <v>78</v>
      </c>
      <c r="B65" s="15" t="s">
        <v>464</v>
      </c>
      <c r="C65" t="s">
        <v>548</v>
      </c>
      <c r="D65" s="1">
        <v>36.213813781738281</v>
      </c>
      <c r="H65" s="15" t="s">
        <v>464</v>
      </c>
      <c r="J65" s="3"/>
    </row>
    <row r="66" spans="1:10" x14ac:dyDescent="0.2">
      <c r="A66" t="s">
        <v>79</v>
      </c>
      <c r="B66" s="15" t="s">
        <v>465</v>
      </c>
      <c r="C66" t="s">
        <v>548</v>
      </c>
      <c r="D66" s="1">
        <v>37.894287109375</v>
      </c>
      <c r="H66" s="15" t="s">
        <v>465</v>
      </c>
      <c r="J66" s="3"/>
    </row>
    <row r="67" spans="1:10" x14ac:dyDescent="0.2">
      <c r="A67" t="s">
        <v>80</v>
      </c>
      <c r="B67" s="15" t="s">
        <v>466</v>
      </c>
      <c r="C67" t="s">
        <v>548</v>
      </c>
      <c r="D67" s="1">
        <v>35.252841949462891</v>
      </c>
      <c r="H67" s="15" t="s">
        <v>466</v>
      </c>
      <c r="J67" s="3"/>
    </row>
    <row r="68" spans="1:10" x14ac:dyDescent="0.2">
      <c r="A68" t="s">
        <v>81</v>
      </c>
      <c r="B68" s="15" t="s">
        <v>467</v>
      </c>
      <c r="C68" t="s">
        <v>548</v>
      </c>
      <c r="D68" s="1">
        <v>34.622222900390625</v>
      </c>
      <c r="H68" s="15" t="s">
        <v>467</v>
      </c>
      <c r="J68" s="3"/>
    </row>
    <row r="69" spans="1:10" x14ac:dyDescent="0.2">
      <c r="A69" t="s">
        <v>82</v>
      </c>
      <c r="B69" s="15" t="s">
        <v>468</v>
      </c>
      <c r="C69" t="s">
        <v>548</v>
      </c>
      <c r="D69" s="1">
        <v>34.066959381103516</v>
      </c>
      <c r="H69" s="15" t="s">
        <v>468</v>
      </c>
      <c r="J69" s="3"/>
    </row>
    <row r="70" spans="1:10" x14ac:dyDescent="0.2">
      <c r="A70" t="s">
        <v>83</v>
      </c>
      <c r="B70" s="15" t="s">
        <v>469</v>
      </c>
      <c r="C70" t="s">
        <v>548</v>
      </c>
      <c r="D70" s="1">
        <v>35.346343994140625</v>
      </c>
      <c r="H70" s="15" t="s">
        <v>469</v>
      </c>
      <c r="J70" s="3"/>
    </row>
    <row r="71" spans="1:10" x14ac:dyDescent="0.2">
      <c r="A71" t="s">
        <v>84</v>
      </c>
      <c r="B71" s="15" t="s">
        <v>470</v>
      </c>
      <c r="C71" t="s">
        <v>548</v>
      </c>
      <c r="D71" s="1">
        <v>34.8642578125</v>
      </c>
      <c r="H71" s="15" t="s">
        <v>470</v>
      </c>
      <c r="J71" s="3"/>
    </row>
    <row r="72" spans="1:10" x14ac:dyDescent="0.2">
      <c r="A72" t="s">
        <v>85</v>
      </c>
      <c r="B72" s="15" t="s">
        <v>471</v>
      </c>
      <c r="C72" t="s">
        <v>548</v>
      </c>
      <c r="D72" s="1">
        <v>34.565525054931641</v>
      </c>
      <c r="H72" s="15" t="s">
        <v>471</v>
      </c>
      <c r="J72" s="3"/>
    </row>
    <row r="73" spans="1:10" x14ac:dyDescent="0.2">
      <c r="A73" t="s">
        <v>86</v>
      </c>
      <c r="B73" s="15" t="s">
        <v>472</v>
      </c>
      <c r="C73" t="s">
        <v>548</v>
      </c>
      <c r="D73" s="1">
        <v>35.762130737304688</v>
      </c>
      <c r="H73" s="15" t="s">
        <v>472</v>
      </c>
      <c r="J73" s="3"/>
    </row>
    <row r="74" spans="1:10" x14ac:dyDescent="0.2">
      <c r="A74" t="s">
        <v>87</v>
      </c>
      <c r="B74" s="15" t="s">
        <v>473</v>
      </c>
      <c r="C74" t="s">
        <v>548</v>
      </c>
      <c r="D74" s="1">
        <v>34.952133178710938</v>
      </c>
      <c r="H74" s="15" t="s">
        <v>473</v>
      </c>
      <c r="J74" s="3"/>
    </row>
    <row r="75" spans="1:10" x14ac:dyDescent="0.2">
      <c r="A75" t="s">
        <v>88</v>
      </c>
      <c r="B75" s="15" t="s">
        <v>474</v>
      </c>
      <c r="C75" t="s">
        <v>548</v>
      </c>
      <c r="D75" s="1">
        <v>35.161430358886719</v>
      </c>
      <c r="H75" s="15" t="s">
        <v>474</v>
      </c>
      <c r="J75" s="3"/>
    </row>
    <row r="76" spans="1:10" x14ac:dyDescent="0.2">
      <c r="A76" t="s">
        <v>89</v>
      </c>
      <c r="B76" s="15" t="s">
        <v>475</v>
      </c>
      <c r="C76" t="s">
        <v>548</v>
      </c>
      <c r="D76" s="1">
        <v>34.468128204345703</v>
      </c>
      <c r="H76" s="15" t="s">
        <v>475</v>
      </c>
      <c r="J76" s="3"/>
    </row>
    <row r="77" spans="1:10" x14ac:dyDescent="0.2">
      <c r="A77" t="s">
        <v>90</v>
      </c>
      <c r="B77" s="15" t="s">
        <v>476</v>
      </c>
      <c r="C77" t="s">
        <v>548</v>
      </c>
      <c r="D77" s="1">
        <v>34.574184417724609</v>
      </c>
      <c r="H77" s="15" t="s">
        <v>476</v>
      </c>
      <c r="J77" s="3"/>
    </row>
    <row r="78" spans="1:10" x14ac:dyDescent="0.2">
      <c r="A78" t="s">
        <v>91</v>
      </c>
      <c r="B78" s="15" t="s">
        <v>477</v>
      </c>
      <c r="C78" t="s">
        <v>548</v>
      </c>
      <c r="D78" s="1">
        <v>35.205596923828125</v>
      </c>
      <c r="H78" s="15" t="s">
        <v>477</v>
      </c>
      <c r="J78" s="3"/>
    </row>
    <row r="79" spans="1:10" x14ac:dyDescent="0.2">
      <c r="A79" t="s">
        <v>92</v>
      </c>
      <c r="B79" s="15" t="s">
        <v>478</v>
      </c>
      <c r="C79" t="s">
        <v>548</v>
      </c>
      <c r="D79" s="1">
        <v>34.528476715087891</v>
      </c>
      <c r="H79" s="15" t="s">
        <v>478</v>
      </c>
      <c r="J79" s="3"/>
    </row>
    <row r="80" spans="1:10" x14ac:dyDescent="0.2">
      <c r="A80" t="s">
        <v>93</v>
      </c>
      <c r="B80" s="15" t="s">
        <v>479</v>
      </c>
      <c r="C80" t="s">
        <v>548</v>
      </c>
      <c r="D80" s="1">
        <v>34.95709228515625</v>
      </c>
      <c r="H80" s="15" t="s">
        <v>479</v>
      </c>
      <c r="J80" s="3"/>
    </row>
    <row r="81" spans="1:10" x14ac:dyDescent="0.2">
      <c r="A81" t="s">
        <v>94</v>
      </c>
      <c r="B81" s="15" t="s">
        <v>480</v>
      </c>
      <c r="C81" t="s">
        <v>548</v>
      </c>
      <c r="D81" s="1">
        <v>35.468776702880859</v>
      </c>
      <c r="H81" s="15" t="s">
        <v>480</v>
      </c>
      <c r="J81" s="3"/>
    </row>
    <row r="82" spans="1:10" x14ac:dyDescent="0.2">
      <c r="A82" t="s">
        <v>95</v>
      </c>
      <c r="B82" s="15" t="s">
        <v>481</v>
      </c>
      <c r="C82" t="s">
        <v>548</v>
      </c>
      <c r="D82" s="1">
        <v>33.906265258789063</v>
      </c>
      <c r="H82" s="15" t="s">
        <v>481</v>
      </c>
      <c r="J82" s="3"/>
    </row>
    <row r="83" spans="1:10" x14ac:dyDescent="0.2">
      <c r="A83" t="s">
        <v>96</v>
      </c>
      <c r="B83" s="15" t="s">
        <v>482</v>
      </c>
      <c r="C83" t="s">
        <v>548</v>
      </c>
      <c r="D83" s="1">
        <v>34.092201232910156</v>
      </c>
      <c r="H83" s="15" t="s">
        <v>482</v>
      </c>
      <c r="J83" s="3"/>
    </row>
    <row r="84" spans="1:10" x14ac:dyDescent="0.2">
      <c r="A84" t="s">
        <v>97</v>
      </c>
      <c r="B84" s="15" t="s">
        <v>483</v>
      </c>
      <c r="C84" t="s">
        <v>548</v>
      </c>
      <c r="D84" s="1">
        <v>34.416831970214844</v>
      </c>
      <c r="H84" s="15" t="s">
        <v>483</v>
      </c>
      <c r="J84" s="3"/>
    </row>
    <row r="85" spans="1:10" x14ac:dyDescent="0.2">
      <c r="A85" t="s">
        <v>98</v>
      </c>
      <c r="B85" s="15" t="s">
        <v>484</v>
      </c>
      <c r="C85" t="s">
        <v>548</v>
      </c>
      <c r="D85" s="1">
        <v>35.163658142089844</v>
      </c>
      <c r="H85" s="15" t="s">
        <v>484</v>
      </c>
      <c r="J85" s="3"/>
    </row>
    <row r="86" spans="1:10" x14ac:dyDescent="0.2">
      <c r="A86" t="s">
        <v>99</v>
      </c>
      <c r="B86" s="15" t="s">
        <v>485</v>
      </c>
      <c r="C86" t="s">
        <v>548</v>
      </c>
      <c r="D86" s="1">
        <v>33.282993316650391</v>
      </c>
      <c r="H86" s="15" t="s">
        <v>485</v>
      </c>
      <c r="J86" s="3"/>
    </row>
    <row r="87" spans="1:10" x14ac:dyDescent="0.2">
      <c r="A87" t="s">
        <v>100</v>
      </c>
      <c r="B87" s="15" t="s">
        <v>486</v>
      </c>
      <c r="C87" t="s">
        <v>548</v>
      </c>
      <c r="D87" s="1">
        <v>33.585174560546875</v>
      </c>
      <c r="H87" s="15" t="s">
        <v>486</v>
      </c>
      <c r="J87" s="3"/>
    </row>
    <row r="88" spans="1:10" x14ac:dyDescent="0.2">
      <c r="A88" t="s">
        <v>101</v>
      </c>
      <c r="B88" s="15" t="s">
        <v>487</v>
      </c>
      <c r="C88" t="s">
        <v>548</v>
      </c>
      <c r="D88" s="1">
        <v>34.337940216064453</v>
      </c>
      <c r="H88" s="15" t="s">
        <v>487</v>
      </c>
      <c r="J88" s="3"/>
    </row>
    <row r="89" spans="1:10" x14ac:dyDescent="0.2">
      <c r="A89" t="s">
        <v>102</v>
      </c>
      <c r="B89" s="15" t="s">
        <v>488</v>
      </c>
      <c r="C89" t="s">
        <v>548</v>
      </c>
      <c r="D89" s="1">
        <v>34.158031463623047</v>
      </c>
      <c r="H89" s="15" t="s">
        <v>488</v>
      </c>
      <c r="J89" s="3"/>
    </row>
    <row r="90" spans="1:10" x14ac:dyDescent="0.2">
      <c r="A90" t="s">
        <v>103</v>
      </c>
      <c r="B90" s="15" t="s">
        <v>489</v>
      </c>
      <c r="C90" t="s">
        <v>548</v>
      </c>
      <c r="D90" s="1">
        <v>35.412860870361328</v>
      </c>
      <c r="H90" s="15" t="s">
        <v>489</v>
      </c>
      <c r="J90" s="3"/>
    </row>
    <row r="91" spans="1:10" x14ac:dyDescent="0.2">
      <c r="A91" t="s">
        <v>104</v>
      </c>
      <c r="B91" s="15" t="s">
        <v>490</v>
      </c>
      <c r="C91" t="s">
        <v>548</v>
      </c>
      <c r="D91" s="1">
        <v>34.559707641601563</v>
      </c>
      <c r="H91" s="15" t="s">
        <v>490</v>
      </c>
      <c r="J91" s="3"/>
    </row>
    <row r="92" spans="1:10" x14ac:dyDescent="0.2">
      <c r="A92" t="s">
        <v>105</v>
      </c>
      <c r="B92" s="15" t="s">
        <v>507</v>
      </c>
      <c r="C92" t="s">
        <v>548</v>
      </c>
      <c r="D92" s="1">
        <v>34.958389282226563</v>
      </c>
      <c r="H92" s="15" t="s">
        <v>507</v>
      </c>
      <c r="J92" s="3"/>
    </row>
    <row r="93" spans="1:10" x14ac:dyDescent="0.2">
      <c r="A93" t="s">
        <v>106</v>
      </c>
      <c r="B93" s="15" t="s">
        <v>491</v>
      </c>
      <c r="C93" t="s">
        <v>548</v>
      </c>
      <c r="D93" s="1">
        <v>34.759044647216797</v>
      </c>
      <c r="H93" s="15" t="s">
        <v>491</v>
      </c>
      <c r="J93" s="3"/>
    </row>
    <row r="94" spans="1:10" x14ac:dyDescent="0.2">
      <c r="A94" t="s">
        <v>107</v>
      </c>
      <c r="B94" s="15" t="s">
        <v>492</v>
      </c>
      <c r="C94" t="s">
        <v>548</v>
      </c>
      <c r="D94" s="1">
        <v>35.941852569580078</v>
      </c>
      <c r="H94" s="15" t="s">
        <v>492</v>
      </c>
      <c r="J94" s="3"/>
    </row>
    <row r="95" spans="1:10" x14ac:dyDescent="0.2">
      <c r="A95" t="s">
        <v>108</v>
      </c>
      <c r="B95" s="15" t="s">
        <v>508</v>
      </c>
      <c r="C95" t="s">
        <v>548</v>
      </c>
      <c r="D95" s="1">
        <v>34.852821350097656</v>
      </c>
      <c r="H95" s="15" t="s">
        <v>508</v>
      </c>
      <c r="J95" s="3"/>
    </row>
    <row r="96" spans="1:10" x14ac:dyDescent="0.2">
      <c r="A96" t="s">
        <v>109</v>
      </c>
      <c r="B96" s="15" t="s">
        <v>493</v>
      </c>
      <c r="C96" t="s">
        <v>548</v>
      </c>
      <c r="D96" s="1">
        <v>36.184619903564453</v>
      </c>
      <c r="H96" s="15" t="s">
        <v>493</v>
      </c>
      <c r="J96" s="3"/>
    </row>
    <row r="97" spans="1:10" x14ac:dyDescent="0.2">
      <c r="A97" t="s">
        <v>110</v>
      </c>
      <c r="B97" s="15" t="s">
        <v>494</v>
      </c>
      <c r="C97" t="s">
        <v>548</v>
      </c>
      <c r="D97" s="1">
        <v>35.514644622802734</v>
      </c>
      <c r="H97" s="15" t="s">
        <v>494</v>
      </c>
      <c r="J97" s="3"/>
    </row>
    <row r="98" spans="1:10" x14ac:dyDescent="0.2">
      <c r="A98" t="s">
        <v>111</v>
      </c>
      <c r="B98" s="15" t="s">
        <v>509</v>
      </c>
      <c r="C98" t="s">
        <v>548</v>
      </c>
      <c r="D98" s="1">
        <v>35.397895812988281</v>
      </c>
      <c r="H98" s="15" t="s">
        <v>509</v>
      </c>
      <c r="J98" s="3"/>
    </row>
    <row r="99" spans="1:10" x14ac:dyDescent="0.2">
      <c r="A99" t="s">
        <v>112</v>
      </c>
      <c r="B99" s="15" t="s">
        <v>495</v>
      </c>
      <c r="C99" t="s">
        <v>548</v>
      </c>
      <c r="D99" s="1">
        <v>34.941349029541016</v>
      </c>
      <c r="H99" s="15" t="s">
        <v>495</v>
      </c>
      <c r="J99" s="3"/>
    </row>
    <row r="100" spans="1:10" x14ac:dyDescent="0.2">
      <c r="A100" t="s">
        <v>113</v>
      </c>
      <c r="B100" s="15" t="s">
        <v>496</v>
      </c>
      <c r="C100" t="s">
        <v>548</v>
      </c>
      <c r="D100" s="1">
        <v>35.018634796142578</v>
      </c>
      <c r="H100" s="15" t="s">
        <v>496</v>
      </c>
      <c r="J100" s="3"/>
    </row>
    <row r="101" spans="1:10" x14ac:dyDescent="0.2">
      <c r="A101" t="s">
        <v>114</v>
      </c>
      <c r="B101" s="15" t="s">
        <v>510</v>
      </c>
      <c r="C101" t="s">
        <v>548</v>
      </c>
      <c r="D101" s="1">
        <v>34.886623382568359</v>
      </c>
      <c r="H101" s="15" t="s">
        <v>510</v>
      </c>
      <c r="J101" s="3"/>
    </row>
    <row r="102" spans="1:10" x14ac:dyDescent="0.2">
      <c r="A102" t="s">
        <v>115</v>
      </c>
      <c r="B102" s="15" t="s">
        <v>497</v>
      </c>
      <c r="C102" t="s">
        <v>548</v>
      </c>
      <c r="D102" s="1">
        <v>35.066970825195313</v>
      </c>
      <c r="H102" s="15" t="s">
        <v>497</v>
      </c>
      <c r="J102" s="3"/>
    </row>
    <row r="103" spans="1:10" x14ac:dyDescent="0.2">
      <c r="A103" t="s">
        <v>116</v>
      </c>
      <c r="B103" s="15" t="s">
        <v>498</v>
      </c>
      <c r="C103" t="s">
        <v>548</v>
      </c>
      <c r="D103" s="1">
        <v>35.519428253173828</v>
      </c>
      <c r="H103" s="15" t="s">
        <v>498</v>
      </c>
      <c r="J103" s="3"/>
    </row>
    <row r="104" spans="1:10" x14ac:dyDescent="0.2">
      <c r="A104" t="s">
        <v>117</v>
      </c>
      <c r="B104" s="15" t="s">
        <v>511</v>
      </c>
      <c r="C104" t="s">
        <v>548</v>
      </c>
      <c r="D104" s="1">
        <v>35.96697998046875</v>
      </c>
      <c r="H104" s="15" t="s">
        <v>511</v>
      </c>
      <c r="J104" s="3"/>
    </row>
    <row r="105" spans="1:10" x14ac:dyDescent="0.2">
      <c r="A105" t="s">
        <v>118</v>
      </c>
      <c r="B105" s="15" t="s">
        <v>499</v>
      </c>
      <c r="C105" t="s">
        <v>548</v>
      </c>
      <c r="D105" s="1">
        <v>35.127632141113281</v>
      </c>
      <c r="H105" s="15" t="s">
        <v>499</v>
      </c>
      <c r="J105" s="3"/>
    </row>
    <row r="106" spans="1:10" x14ac:dyDescent="0.2">
      <c r="A106" t="s">
        <v>119</v>
      </c>
      <c r="B106" s="15" t="s">
        <v>500</v>
      </c>
      <c r="C106" t="s">
        <v>548</v>
      </c>
      <c r="D106" s="1">
        <v>35.486862182617188</v>
      </c>
      <c r="H106" s="15" t="s">
        <v>500</v>
      </c>
      <c r="J106" s="3"/>
    </row>
    <row r="107" spans="1:10" x14ac:dyDescent="0.2">
      <c r="A107" t="s">
        <v>120</v>
      </c>
      <c r="B107" s="15" t="s">
        <v>512</v>
      </c>
      <c r="C107" t="s">
        <v>548</v>
      </c>
      <c r="D107" s="1">
        <v>36.011981964111328</v>
      </c>
      <c r="H107" s="15" t="s">
        <v>512</v>
      </c>
      <c r="J107" s="3"/>
    </row>
    <row r="108" spans="1:10" x14ac:dyDescent="0.2">
      <c r="A108" t="s">
        <v>121</v>
      </c>
      <c r="B108" s="15" t="s">
        <v>501</v>
      </c>
      <c r="C108" t="s">
        <v>548</v>
      </c>
      <c r="D108" s="1">
        <v>35.682384490966797</v>
      </c>
      <c r="H108" s="15" t="s">
        <v>501</v>
      </c>
      <c r="J108" s="3"/>
    </row>
    <row r="109" spans="1:10" x14ac:dyDescent="0.2">
      <c r="A109" t="s">
        <v>122</v>
      </c>
      <c r="B109" s="15" t="s">
        <v>502</v>
      </c>
      <c r="C109" t="s">
        <v>548</v>
      </c>
      <c r="D109" s="1">
        <v>34.942977905273438</v>
      </c>
      <c r="H109" s="15" t="s">
        <v>502</v>
      </c>
      <c r="J109" s="3"/>
    </row>
    <row r="110" spans="1:10" x14ac:dyDescent="0.2">
      <c r="A110" t="s">
        <v>123</v>
      </c>
      <c r="B110" s="15" t="s">
        <v>513</v>
      </c>
      <c r="C110" t="s">
        <v>548</v>
      </c>
      <c r="D110" s="1">
        <v>35.542205810546875</v>
      </c>
      <c r="H110" s="15" t="s">
        <v>513</v>
      </c>
      <c r="J110" s="3"/>
    </row>
    <row r="111" spans="1:10" x14ac:dyDescent="0.2">
      <c r="A111" t="s">
        <v>124</v>
      </c>
      <c r="B111" s="15" t="s">
        <v>503</v>
      </c>
      <c r="C111" t="s">
        <v>548</v>
      </c>
      <c r="D111" s="1">
        <v>34.576801300048828</v>
      </c>
      <c r="H111" s="15" t="s">
        <v>503</v>
      </c>
    </row>
    <row r="112" spans="1:10" x14ac:dyDescent="0.2">
      <c r="A112" t="s">
        <v>125</v>
      </c>
      <c r="B112" s="15" t="s">
        <v>504</v>
      </c>
      <c r="C112" t="s">
        <v>548</v>
      </c>
      <c r="D112" s="1">
        <v>35.124847412109375</v>
      </c>
      <c r="H112" s="15" t="s">
        <v>504</v>
      </c>
    </row>
    <row r="113" spans="1:8" x14ac:dyDescent="0.2">
      <c r="A113" t="s">
        <v>126</v>
      </c>
      <c r="B113" s="15" t="s">
        <v>514</v>
      </c>
      <c r="C113" t="s">
        <v>548</v>
      </c>
      <c r="D113" s="1">
        <v>35.039398193359375</v>
      </c>
      <c r="H113" s="15" t="s">
        <v>514</v>
      </c>
    </row>
    <row r="114" spans="1:8" x14ac:dyDescent="0.2">
      <c r="A114" t="s">
        <v>127</v>
      </c>
      <c r="B114" s="15" t="s">
        <v>505</v>
      </c>
      <c r="C114" t="s">
        <v>548</v>
      </c>
      <c r="D114" s="1">
        <v>34.965660095214844</v>
      </c>
      <c r="H114" s="15" t="s">
        <v>505</v>
      </c>
    </row>
    <row r="115" spans="1:8" x14ac:dyDescent="0.2">
      <c r="A115" t="s">
        <v>128</v>
      </c>
      <c r="B115" s="15" t="s">
        <v>506</v>
      </c>
      <c r="C115" t="s">
        <v>548</v>
      </c>
      <c r="D115" s="1">
        <v>35.640323638916016</v>
      </c>
      <c r="H115" s="15" t="s">
        <v>506</v>
      </c>
    </row>
    <row r="116" spans="1:8" x14ac:dyDescent="0.2">
      <c r="A116" t="s">
        <v>129</v>
      </c>
      <c r="B116" s="15" t="s">
        <v>515</v>
      </c>
      <c r="C116" t="s">
        <v>548</v>
      </c>
      <c r="D116" s="1">
        <v>35.25982666015625</v>
      </c>
      <c r="H116" s="15" t="s">
        <v>515</v>
      </c>
    </row>
    <row r="117" spans="1:8" x14ac:dyDescent="0.2">
      <c r="A117" t="s">
        <v>130</v>
      </c>
      <c r="B117" s="15" t="s">
        <v>516</v>
      </c>
      <c r="C117" t="s">
        <v>548</v>
      </c>
      <c r="D117" s="1">
        <v>35.248138427734375</v>
      </c>
      <c r="H117" s="15" t="s">
        <v>516</v>
      </c>
    </row>
    <row r="118" spans="1:8" x14ac:dyDescent="0.2">
      <c r="A118" t="s">
        <v>131</v>
      </c>
      <c r="B118" s="15" t="s">
        <v>517</v>
      </c>
      <c r="C118" t="s">
        <v>548</v>
      </c>
      <c r="D118" s="1">
        <v>35.125068664550781</v>
      </c>
      <c r="H118" s="15" t="s">
        <v>517</v>
      </c>
    </row>
    <row r="119" spans="1:8" x14ac:dyDescent="0.2">
      <c r="A119" t="s">
        <v>132</v>
      </c>
      <c r="B119" s="15" t="s">
        <v>518</v>
      </c>
      <c r="C119" t="s">
        <v>548</v>
      </c>
      <c r="D119" s="1">
        <v>35.104045867919922</v>
      </c>
      <c r="H119" s="15" t="s">
        <v>518</v>
      </c>
    </row>
    <row r="120" spans="1:8" x14ac:dyDescent="0.2">
      <c r="A120" t="s">
        <v>133</v>
      </c>
      <c r="B120" s="15" t="s">
        <v>519</v>
      </c>
      <c r="C120" t="s">
        <v>548</v>
      </c>
      <c r="D120" s="1">
        <v>36.019020080566406</v>
      </c>
      <c r="H120" s="15" t="s">
        <v>519</v>
      </c>
    </row>
    <row r="121" spans="1:8" x14ac:dyDescent="0.2">
      <c r="A121" t="s">
        <v>134</v>
      </c>
      <c r="B121" s="15" t="s">
        <v>520</v>
      </c>
      <c r="C121" t="s">
        <v>548</v>
      </c>
      <c r="D121" s="1">
        <v>36.831180572509766</v>
      </c>
      <c r="H121" s="15" t="s">
        <v>520</v>
      </c>
    </row>
    <row r="122" spans="1:8" x14ac:dyDescent="0.2">
      <c r="A122" t="s">
        <v>135</v>
      </c>
      <c r="B122" s="15" t="s">
        <v>521</v>
      </c>
      <c r="C122" t="s">
        <v>548</v>
      </c>
      <c r="D122" s="1">
        <v>35.680797576904297</v>
      </c>
      <c r="H122" s="15" t="s">
        <v>521</v>
      </c>
    </row>
    <row r="123" spans="1:8" x14ac:dyDescent="0.2">
      <c r="A123" t="s">
        <v>136</v>
      </c>
      <c r="B123" s="15" t="s">
        <v>522</v>
      </c>
      <c r="C123" t="s">
        <v>548</v>
      </c>
      <c r="D123" s="1">
        <v>35.164463043212891</v>
      </c>
      <c r="H123" s="15" t="s">
        <v>522</v>
      </c>
    </row>
    <row r="124" spans="1:8" x14ac:dyDescent="0.2">
      <c r="A124" t="s">
        <v>137</v>
      </c>
      <c r="B124" s="15" t="s">
        <v>523</v>
      </c>
      <c r="C124" t="s">
        <v>548</v>
      </c>
      <c r="D124" s="1">
        <v>36.614349365234375</v>
      </c>
      <c r="H124" s="15" t="s">
        <v>523</v>
      </c>
    </row>
    <row r="125" spans="1:8" x14ac:dyDescent="0.2">
      <c r="A125" t="s">
        <v>138</v>
      </c>
      <c r="B125" s="15" t="s">
        <v>524</v>
      </c>
      <c r="C125" t="s">
        <v>548</v>
      </c>
      <c r="D125" s="1">
        <v>35.082901000976563</v>
      </c>
      <c r="H125" s="15" t="s">
        <v>524</v>
      </c>
    </row>
    <row r="126" spans="1:8" x14ac:dyDescent="0.2">
      <c r="A126" t="s">
        <v>139</v>
      </c>
      <c r="B126" s="15" t="s">
        <v>525</v>
      </c>
      <c r="C126" t="s">
        <v>548</v>
      </c>
      <c r="D126" s="1">
        <v>35.280971527099609</v>
      </c>
      <c r="H126" s="15" t="s">
        <v>525</v>
      </c>
    </row>
    <row r="127" spans="1:8" x14ac:dyDescent="0.2">
      <c r="A127" t="s">
        <v>140</v>
      </c>
      <c r="B127" s="15" t="s">
        <v>526</v>
      </c>
      <c r="C127" t="s">
        <v>548</v>
      </c>
      <c r="D127" s="1">
        <v>35.484081268310547</v>
      </c>
      <c r="H127" s="15" t="s">
        <v>526</v>
      </c>
    </row>
    <row r="128" spans="1:8" x14ac:dyDescent="0.2">
      <c r="A128" t="s">
        <v>141</v>
      </c>
      <c r="B128" s="15" t="s">
        <v>527</v>
      </c>
      <c r="C128" t="s">
        <v>548</v>
      </c>
      <c r="D128" s="1">
        <v>35.077728271484375</v>
      </c>
      <c r="H128" s="15" t="s">
        <v>527</v>
      </c>
    </row>
    <row r="129" spans="1:8" x14ac:dyDescent="0.2">
      <c r="A129" t="s">
        <v>142</v>
      </c>
      <c r="B129" s="15" t="s">
        <v>528</v>
      </c>
      <c r="C129" t="s">
        <v>548</v>
      </c>
      <c r="D129" s="1">
        <v>35.783737182617188</v>
      </c>
      <c r="H129" s="15" t="s">
        <v>528</v>
      </c>
    </row>
    <row r="130" spans="1:8" x14ac:dyDescent="0.2">
      <c r="A130" t="s">
        <v>143</v>
      </c>
      <c r="B130" s="15" t="s">
        <v>529</v>
      </c>
      <c r="C130" t="s">
        <v>548</v>
      </c>
      <c r="D130" s="1">
        <v>35.508430480957031</v>
      </c>
      <c r="H130" s="15" t="s">
        <v>529</v>
      </c>
    </row>
    <row r="131" spans="1:8" x14ac:dyDescent="0.2">
      <c r="A131" t="s">
        <v>144</v>
      </c>
      <c r="B131" s="15" t="s">
        <v>530</v>
      </c>
      <c r="C131" t="s">
        <v>548</v>
      </c>
      <c r="D131" s="1">
        <v>35.472023010253906</v>
      </c>
      <c r="H131" s="15" t="s">
        <v>530</v>
      </c>
    </row>
    <row r="132" spans="1:8" x14ac:dyDescent="0.2">
      <c r="A132" t="s">
        <v>145</v>
      </c>
      <c r="B132" s="15" t="s">
        <v>531</v>
      </c>
      <c r="C132" t="s">
        <v>548</v>
      </c>
      <c r="D132" s="1">
        <v>36.014194488525391</v>
      </c>
      <c r="H132" s="15" t="s">
        <v>531</v>
      </c>
    </row>
    <row r="133" spans="1:8" x14ac:dyDescent="0.2">
      <c r="A133" t="s">
        <v>146</v>
      </c>
      <c r="B133" s="15" t="s">
        <v>532</v>
      </c>
      <c r="C133" t="s">
        <v>548</v>
      </c>
      <c r="D133" s="1">
        <v>35.507091522216797</v>
      </c>
      <c r="H133" s="15" t="s">
        <v>532</v>
      </c>
    </row>
    <row r="134" spans="1:8" x14ac:dyDescent="0.2">
      <c r="A134" t="s">
        <v>147</v>
      </c>
      <c r="B134" s="15" t="s">
        <v>533</v>
      </c>
      <c r="C134" t="s">
        <v>548</v>
      </c>
      <c r="D134" s="1">
        <v>34.919570922851563</v>
      </c>
      <c r="H134" s="15" t="s">
        <v>533</v>
      </c>
    </row>
    <row r="135" spans="1:8" x14ac:dyDescent="0.2">
      <c r="A135" t="s">
        <v>148</v>
      </c>
      <c r="B135" s="15" t="s">
        <v>534</v>
      </c>
      <c r="C135" t="s">
        <v>548</v>
      </c>
      <c r="D135" s="1">
        <v>33.95196533203125</v>
      </c>
      <c r="H135" s="15" t="s">
        <v>534</v>
      </c>
    </row>
    <row r="136" spans="1:8" x14ac:dyDescent="0.2">
      <c r="A136" t="s">
        <v>149</v>
      </c>
      <c r="B136" s="15" t="s">
        <v>535</v>
      </c>
      <c r="C136" t="s">
        <v>548</v>
      </c>
      <c r="D136" s="1">
        <v>35.731761932373047</v>
      </c>
      <c r="H136" s="15" t="s">
        <v>535</v>
      </c>
    </row>
    <row r="137" spans="1:8" x14ac:dyDescent="0.2">
      <c r="A137" t="s">
        <v>150</v>
      </c>
      <c r="B137" s="15" t="s">
        <v>536</v>
      </c>
      <c r="C137" t="s">
        <v>548</v>
      </c>
      <c r="D137" s="1">
        <v>34.597419738769531</v>
      </c>
      <c r="H137" s="15" t="s">
        <v>536</v>
      </c>
    </row>
    <row r="138" spans="1:8" x14ac:dyDescent="0.2">
      <c r="A138" t="s">
        <v>151</v>
      </c>
      <c r="B138" s="15" t="s">
        <v>537</v>
      </c>
      <c r="C138" t="s">
        <v>548</v>
      </c>
      <c r="D138" s="1">
        <v>35.082386016845703</v>
      </c>
      <c r="H138" s="15" t="s">
        <v>537</v>
      </c>
    </row>
    <row r="139" spans="1:8" x14ac:dyDescent="0.2">
      <c r="A139" t="s">
        <v>152</v>
      </c>
      <c r="B139" s="15" t="s">
        <v>538</v>
      </c>
      <c r="C139" t="s">
        <v>548</v>
      </c>
      <c r="D139" s="1">
        <v>34.579574584960938</v>
      </c>
      <c r="H139" s="15" t="s">
        <v>538</v>
      </c>
    </row>
    <row r="140" spans="1:8" x14ac:dyDescent="0.2">
      <c r="A140" t="s">
        <v>153</v>
      </c>
      <c r="B140" s="15" t="s">
        <v>539</v>
      </c>
      <c r="C140" t="s">
        <v>548</v>
      </c>
      <c r="D140" s="1">
        <v>34.096076965332031</v>
      </c>
      <c r="H140" s="15" t="s">
        <v>539</v>
      </c>
    </row>
    <row r="141" spans="1:8" x14ac:dyDescent="0.2">
      <c r="A141" t="s">
        <v>154</v>
      </c>
      <c r="B141" s="15" t="s">
        <v>540</v>
      </c>
      <c r="C141" t="s">
        <v>548</v>
      </c>
      <c r="D141" s="1">
        <v>35.9442138671875</v>
      </c>
      <c r="H141" s="15" t="s">
        <v>540</v>
      </c>
    </row>
    <row r="142" spans="1:8" x14ac:dyDescent="0.2">
      <c r="A142" t="s">
        <v>155</v>
      </c>
      <c r="B142" s="15" t="s">
        <v>541</v>
      </c>
      <c r="C142" t="s">
        <v>548</v>
      </c>
      <c r="D142" s="1">
        <v>35.752388000488281</v>
      </c>
      <c r="H142" s="15" t="s">
        <v>541</v>
      </c>
    </row>
    <row r="143" spans="1:8" x14ac:dyDescent="0.2">
      <c r="A143" t="s">
        <v>156</v>
      </c>
      <c r="B143" s="15" t="s">
        <v>542</v>
      </c>
      <c r="C143" t="s">
        <v>548</v>
      </c>
      <c r="D143" s="1">
        <v>35.276020050048828</v>
      </c>
      <c r="H143" s="15" t="s">
        <v>542</v>
      </c>
    </row>
    <row r="144" spans="1:8" x14ac:dyDescent="0.2">
      <c r="A144" t="s">
        <v>157</v>
      </c>
      <c r="B144" s="3" t="s">
        <v>457</v>
      </c>
      <c r="C144" t="s">
        <v>548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548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548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548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548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548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548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548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548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548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548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548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548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548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548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548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548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548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549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549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549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549</v>
      </c>
      <c r="D165" s="1">
        <v>22.779230117797852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549</v>
      </c>
      <c r="D166" s="1">
        <v>23.173620223999023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549</v>
      </c>
      <c r="D167" s="1">
        <v>23.211124420166016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549</v>
      </c>
      <c r="D168" s="1">
        <v>24.284065246582031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549</v>
      </c>
      <c r="D169" s="1">
        <v>24.268888473510742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549</v>
      </c>
      <c r="D170" s="1">
        <v>24.249160766601563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549</v>
      </c>
      <c r="D171" s="1">
        <v>25.361593246459961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549</v>
      </c>
      <c r="D172" s="1">
        <v>25.330738067626953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549</v>
      </c>
      <c r="D173" s="1" t="s">
        <v>55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549</v>
      </c>
      <c r="D174" s="1">
        <v>26.287515640258789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549</v>
      </c>
      <c r="D175" s="1">
        <v>26.28411865234375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549</v>
      </c>
      <c r="D176" s="1">
        <v>25.621913909912109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549</v>
      </c>
      <c r="D177" s="1">
        <v>29.429666519165039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549</v>
      </c>
      <c r="D178" s="1">
        <v>27.516075134277344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549</v>
      </c>
      <c r="D179" s="1">
        <v>27.50678825378418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549</v>
      </c>
      <c r="D180" s="1">
        <v>28.581161499023438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549</v>
      </c>
      <c r="D181" s="1">
        <v>28.585090637207031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549</v>
      </c>
      <c r="D182" s="1">
        <v>28.424116134643555</v>
      </c>
      <c r="H182" s="3" t="s">
        <v>435</v>
      </c>
    </row>
    <row r="183" spans="1:8" x14ac:dyDescent="0.2">
      <c r="A183" t="s">
        <v>196</v>
      </c>
      <c r="B183" s="15" t="s">
        <v>462</v>
      </c>
      <c r="C183" t="s">
        <v>549</v>
      </c>
      <c r="D183" s="1">
        <v>24.766056060791016</v>
      </c>
      <c r="H183" s="15" t="s">
        <v>462</v>
      </c>
    </row>
    <row r="184" spans="1:8" x14ac:dyDescent="0.2">
      <c r="A184" t="s">
        <v>197</v>
      </c>
      <c r="B184" s="15" t="s">
        <v>463</v>
      </c>
      <c r="C184" t="s">
        <v>549</v>
      </c>
      <c r="D184" s="1">
        <v>24.216361999511719</v>
      </c>
      <c r="H184" s="15" t="s">
        <v>463</v>
      </c>
    </row>
    <row r="185" spans="1:8" x14ac:dyDescent="0.2">
      <c r="A185" t="s">
        <v>198</v>
      </c>
      <c r="B185" s="15" t="s">
        <v>464</v>
      </c>
      <c r="C185" t="s">
        <v>549</v>
      </c>
      <c r="D185" s="1" t="s">
        <v>55</v>
      </c>
      <c r="H185" s="15" t="s">
        <v>464</v>
      </c>
    </row>
    <row r="186" spans="1:8" x14ac:dyDescent="0.2">
      <c r="A186" t="s">
        <v>199</v>
      </c>
      <c r="B186" s="15" t="s">
        <v>465</v>
      </c>
      <c r="C186" t="s">
        <v>549</v>
      </c>
      <c r="D186" s="1">
        <v>23.952447891235352</v>
      </c>
      <c r="H186" s="15" t="s">
        <v>465</v>
      </c>
    </row>
    <row r="187" spans="1:8" x14ac:dyDescent="0.2">
      <c r="A187" t="s">
        <v>200</v>
      </c>
      <c r="B187" s="15" t="s">
        <v>466</v>
      </c>
      <c r="C187" t="s">
        <v>549</v>
      </c>
      <c r="D187" s="1">
        <v>24.664104461669922</v>
      </c>
      <c r="H187" s="15" t="s">
        <v>466</v>
      </c>
    </row>
    <row r="188" spans="1:8" x14ac:dyDescent="0.2">
      <c r="A188" t="s">
        <v>201</v>
      </c>
      <c r="B188" s="15" t="s">
        <v>467</v>
      </c>
      <c r="C188" t="s">
        <v>549</v>
      </c>
      <c r="D188" s="1">
        <v>25.014657974243164</v>
      </c>
      <c r="H188" s="15" t="s">
        <v>467</v>
      </c>
    </row>
    <row r="189" spans="1:8" x14ac:dyDescent="0.2">
      <c r="A189" t="s">
        <v>202</v>
      </c>
      <c r="B189" s="15" t="s">
        <v>468</v>
      </c>
      <c r="C189" t="s">
        <v>549</v>
      </c>
      <c r="D189" s="1">
        <v>25.38862419128418</v>
      </c>
      <c r="H189" s="15" t="s">
        <v>468</v>
      </c>
    </row>
    <row r="190" spans="1:8" x14ac:dyDescent="0.2">
      <c r="A190" t="s">
        <v>203</v>
      </c>
      <c r="B190" s="15" t="s">
        <v>469</v>
      </c>
      <c r="C190" t="s">
        <v>549</v>
      </c>
      <c r="D190" s="1">
        <v>25.356672286987305</v>
      </c>
      <c r="H190" s="15" t="s">
        <v>469</v>
      </c>
    </row>
    <row r="191" spans="1:8" x14ac:dyDescent="0.2">
      <c r="A191" t="s">
        <v>204</v>
      </c>
      <c r="B191" s="15" t="s">
        <v>470</v>
      </c>
      <c r="C191" t="s">
        <v>549</v>
      </c>
      <c r="D191" s="1">
        <v>25.101085662841797</v>
      </c>
      <c r="H191" s="15" t="s">
        <v>470</v>
      </c>
    </row>
    <row r="192" spans="1:8" x14ac:dyDescent="0.2">
      <c r="A192" t="s">
        <v>205</v>
      </c>
      <c r="B192" s="15" t="s">
        <v>471</v>
      </c>
      <c r="C192" t="s">
        <v>549</v>
      </c>
      <c r="D192" s="1">
        <v>25.550254821777344</v>
      </c>
      <c r="H192" s="15" t="s">
        <v>471</v>
      </c>
    </row>
    <row r="193" spans="1:8" x14ac:dyDescent="0.2">
      <c r="A193" t="s">
        <v>206</v>
      </c>
      <c r="B193" s="15" t="s">
        <v>472</v>
      </c>
      <c r="C193" t="s">
        <v>549</v>
      </c>
      <c r="D193" s="1">
        <v>25.560916900634766</v>
      </c>
      <c r="H193" s="15" t="s">
        <v>472</v>
      </c>
    </row>
    <row r="194" spans="1:8" x14ac:dyDescent="0.2">
      <c r="A194" t="s">
        <v>207</v>
      </c>
      <c r="B194" s="15" t="s">
        <v>473</v>
      </c>
      <c r="C194" t="s">
        <v>549</v>
      </c>
      <c r="D194" s="1">
        <v>25.47624397277832</v>
      </c>
      <c r="H194" s="15" t="s">
        <v>473</v>
      </c>
    </row>
    <row r="195" spans="1:8" x14ac:dyDescent="0.2">
      <c r="A195" t="s">
        <v>208</v>
      </c>
      <c r="B195" s="15" t="s">
        <v>474</v>
      </c>
      <c r="C195" t="s">
        <v>549</v>
      </c>
      <c r="D195" s="1">
        <v>25.66645622253418</v>
      </c>
      <c r="H195" s="15" t="s">
        <v>474</v>
      </c>
    </row>
    <row r="196" spans="1:8" x14ac:dyDescent="0.2">
      <c r="A196" t="s">
        <v>209</v>
      </c>
      <c r="B196" s="15" t="s">
        <v>475</v>
      </c>
      <c r="C196" t="s">
        <v>549</v>
      </c>
      <c r="D196" s="1">
        <v>32.357170104980469</v>
      </c>
      <c r="H196" s="15" t="s">
        <v>475</v>
      </c>
    </row>
    <row r="197" spans="1:8" x14ac:dyDescent="0.2">
      <c r="A197" t="s">
        <v>210</v>
      </c>
      <c r="B197" s="15" t="s">
        <v>476</v>
      </c>
      <c r="C197" t="s">
        <v>549</v>
      </c>
      <c r="D197" s="1" t="s">
        <v>55</v>
      </c>
      <c r="H197" s="15" t="s">
        <v>476</v>
      </c>
    </row>
    <row r="198" spans="1:8" x14ac:dyDescent="0.2">
      <c r="A198" t="s">
        <v>211</v>
      </c>
      <c r="B198" s="15" t="s">
        <v>477</v>
      </c>
      <c r="C198" t="s">
        <v>549</v>
      </c>
      <c r="D198" s="1">
        <v>25.652095794677734</v>
      </c>
      <c r="H198" s="15" t="s">
        <v>477</v>
      </c>
    </row>
    <row r="199" spans="1:8" x14ac:dyDescent="0.2">
      <c r="A199" t="s">
        <v>212</v>
      </c>
      <c r="B199" s="15" t="s">
        <v>478</v>
      </c>
      <c r="C199" t="s">
        <v>549</v>
      </c>
      <c r="D199" s="1">
        <v>25.929603576660156</v>
      </c>
      <c r="H199" s="15" t="s">
        <v>478</v>
      </c>
    </row>
    <row r="200" spans="1:8" x14ac:dyDescent="0.2">
      <c r="A200" t="s">
        <v>213</v>
      </c>
      <c r="B200" s="15" t="s">
        <v>479</v>
      </c>
      <c r="C200" t="s">
        <v>549</v>
      </c>
      <c r="D200" s="1" t="s">
        <v>55</v>
      </c>
      <c r="H200" s="15" t="s">
        <v>479</v>
      </c>
    </row>
    <row r="201" spans="1:8" x14ac:dyDescent="0.2">
      <c r="A201" t="s">
        <v>214</v>
      </c>
      <c r="B201" s="15" t="s">
        <v>480</v>
      </c>
      <c r="C201" t="s">
        <v>549</v>
      </c>
      <c r="D201" s="1">
        <v>24.827930450439453</v>
      </c>
      <c r="H201" s="15" t="s">
        <v>480</v>
      </c>
    </row>
    <row r="202" spans="1:8" x14ac:dyDescent="0.2">
      <c r="A202" t="s">
        <v>215</v>
      </c>
      <c r="B202" s="15" t="s">
        <v>481</v>
      </c>
      <c r="C202" t="s">
        <v>549</v>
      </c>
      <c r="D202" s="1">
        <v>25.440776824951172</v>
      </c>
      <c r="H202" s="15" t="s">
        <v>481</v>
      </c>
    </row>
    <row r="203" spans="1:8" x14ac:dyDescent="0.2">
      <c r="A203" t="s">
        <v>216</v>
      </c>
      <c r="B203" s="15" t="s">
        <v>482</v>
      </c>
      <c r="C203" t="s">
        <v>549</v>
      </c>
      <c r="D203" s="1">
        <v>25.587779998779297</v>
      </c>
      <c r="H203" s="15" t="s">
        <v>482</v>
      </c>
    </row>
    <row r="204" spans="1:8" x14ac:dyDescent="0.2">
      <c r="A204" t="s">
        <v>217</v>
      </c>
      <c r="B204" s="15" t="s">
        <v>483</v>
      </c>
      <c r="C204" t="s">
        <v>549</v>
      </c>
      <c r="D204" s="1">
        <v>25.19416618347168</v>
      </c>
      <c r="H204" s="15" t="s">
        <v>483</v>
      </c>
    </row>
    <row r="205" spans="1:8" x14ac:dyDescent="0.2">
      <c r="A205" t="s">
        <v>218</v>
      </c>
      <c r="B205" s="15" t="s">
        <v>484</v>
      </c>
      <c r="C205" t="s">
        <v>549</v>
      </c>
      <c r="D205" s="1">
        <v>25.07765007019043</v>
      </c>
      <c r="H205" s="15" t="s">
        <v>484</v>
      </c>
    </row>
    <row r="206" spans="1:8" x14ac:dyDescent="0.2">
      <c r="A206" t="s">
        <v>219</v>
      </c>
      <c r="B206" s="15" t="s">
        <v>485</v>
      </c>
      <c r="C206" t="s">
        <v>549</v>
      </c>
      <c r="D206" s="1">
        <v>24.869722366333008</v>
      </c>
      <c r="H206" s="15" t="s">
        <v>485</v>
      </c>
    </row>
    <row r="207" spans="1:8" x14ac:dyDescent="0.2">
      <c r="A207" t="s">
        <v>220</v>
      </c>
      <c r="B207" s="15" t="s">
        <v>486</v>
      </c>
      <c r="C207" t="s">
        <v>549</v>
      </c>
      <c r="D207" s="1">
        <v>24.740262985229492</v>
      </c>
      <c r="H207" s="15" t="s">
        <v>486</v>
      </c>
    </row>
    <row r="208" spans="1:8" x14ac:dyDescent="0.2">
      <c r="A208" t="s">
        <v>221</v>
      </c>
      <c r="B208" s="15" t="s">
        <v>487</v>
      </c>
      <c r="C208" t="s">
        <v>549</v>
      </c>
      <c r="D208" s="1" t="s">
        <v>55</v>
      </c>
      <c r="H208" s="15" t="s">
        <v>487</v>
      </c>
    </row>
    <row r="209" spans="1:8" x14ac:dyDescent="0.2">
      <c r="A209" t="s">
        <v>222</v>
      </c>
      <c r="B209" s="15" t="s">
        <v>488</v>
      </c>
      <c r="C209" t="s">
        <v>549</v>
      </c>
      <c r="D209" s="1" t="s">
        <v>55</v>
      </c>
      <c r="H209" s="15" t="s">
        <v>488</v>
      </c>
    </row>
    <row r="210" spans="1:8" x14ac:dyDescent="0.2">
      <c r="A210" t="s">
        <v>223</v>
      </c>
      <c r="B210" s="15" t="s">
        <v>489</v>
      </c>
      <c r="C210" t="s">
        <v>549</v>
      </c>
      <c r="D210" s="1">
        <v>24.456872940063477</v>
      </c>
      <c r="H210" s="15" t="s">
        <v>489</v>
      </c>
    </row>
    <row r="211" spans="1:8" x14ac:dyDescent="0.2">
      <c r="A211" t="s">
        <v>224</v>
      </c>
      <c r="B211" s="15" t="s">
        <v>490</v>
      </c>
      <c r="C211" t="s">
        <v>549</v>
      </c>
      <c r="D211" s="1">
        <v>24.96544075012207</v>
      </c>
      <c r="H211" s="15" t="s">
        <v>490</v>
      </c>
    </row>
    <row r="212" spans="1:8" x14ac:dyDescent="0.2">
      <c r="A212" t="s">
        <v>225</v>
      </c>
      <c r="B212" s="15" t="s">
        <v>507</v>
      </c>
      <c r="C212" t="s">
        <v>549</v>
      </c>
      <c r="D212" s="1">
        <v>25.447456359863281</v>
      </c>
      <c r="H212" s="15" t="s">
        <v>507</v>
      </c>
    </row>
    <row r="213" spans="1:8" x14ac:dyDescent="0.2">
      <c r="A213" t="s">
        <v>226</v>
      </c>
      <c r="B213" s="15" t="s">
        <v>491</v>
      </c>
      <c r="C213" t="s">
        <v>549</v>
      </c>
      <c r="D213" s="1">
        <v>25.843666076660156</v>
      </c>
      <c r="H213" s="15" t="s">
        <v>491</v>
      </c>
    </row>
    <row r="214" spans="1:8" x14ac:dyDescent="0.2">
      <c r="A214" t="s">
        <v>227</v>
      </c>
      <c r="B214" s="15" t="s">
        <v>492</v>
      </c>
      <c r="C214" t="s">
        <v>549</v>
      </c>
      <c r="D214" s="1">
        <v>25.561153411865234</v>
      </c>
      <c r="H214" s="15" t="s">
        <v>492</v>
      </c>
    </row>
    <row r="215" spans="1:8" x14ac:dyDescent="0.2">
      <c r="A215" t="s">
        <v>228</v>
      </c>
      <c r="B215" s="15" t="s">
        <v>508</v>
      </c>
      <c r="C215" t="s">
        <v>549</v>
      </c>
      <c r="D215" s="1">
        <v>25.856025695800781</v>
      </c>
      <c r="H215" s="15" t="s">
        <v>508</v>
      </c>
    </row>
    <row r="216" spans="1:8" x14ac:dyDescent="0.2">
      <c r="A216" t="s">
        <v>229</v>
      </c>
      <c r="B216" s="15" t="s">
        <v>493</v>
      </c>
      <c r="C216" t="s">
        <v>549</v>
      </c>
      <c r="D216" s="1">
        <v>25.113126754760742</v>
      </c>
      <c r="H216" s="15" t="s">
        <v>493</v>
      </c>
    </row>
    <row r="217" spans="1:8" x14ac:dyDescent="0.2">
      <c r="A217" t="s">
        <v>230</v>
      </c>
      <c r="B217" s="15" t="s">
        <v>494</v>
      </c>
      <c r="C217" t="s">
        <v>549</v>
      </c>
      <c r="D217" s="1">
        <v>25.337514877319336</v>
      </c>
      <c r="H217" s="15" t="s">
        <v>494</v>
      </c>
    </row>
    <row r="218" spans="1:8" x14ac:dyDescent="0.2">
      <c r="A218" t="s">
        <v>231</v>
      </c>
      <c r="B218" s="15" t="s">
        <v>509</v>
      </c>
      <c r="C218" t="s">
        <v>549</v>
      </c>
      <c r="D218" s="1">
        <v>25.249917984008789</v>
      </c>
      <c r="H218" s="15" t="s">
        <v>509</v>
      </c>
    </row>
    <row r="219" spans="1:8" x14ac:dyDescent="0.2">
      <c r="A219" t="s">
        <v>232</v>
      </c>
      <c r="B219" s="15" t="s">
        <v>495</v>
      </c>
      <c r="C219" t="s">
        <v>549</v>
      </c>
      <c r="D219" s="1">
        <v>25.480722427368164</v>
      </c>
      <c r="H219" s="15" t="s">
        <v>495</v>
      </c>
    </row>
    <row r="220" spans="1:8" x14ac:dyDescent="0.2">
      <c r="A220" t="s">
        <v>233</v>
      </c>
      <c r="B220" s="15" t="s">
        <v>496</v>
      </c>
      <c r="C220" t="s">
        <v>549</v>
      </c>
      <c r="D220" s="1" t="s">
        <v>55</v>
      </c>
      <c r="H220" s="15" t="s">
        <v>496</v>
      </c>
    </row>
    <row r="221" spans="1:8" x14ac:dyDescent="0.2">
      <c r="A221" t="s">
        <v>234</v>
      </c>
      <c r="B221" s="15" t="s">
        <v>510</v>
      </c>
      <c r="C221" t="s">
        <v>549</v>
      </c>
      <c r="D221" s="1">
        <v>25.260919570922852</v>
      </c>
      <c r="H221" s="15" t="s">
        <v>510</v>
      </c>
    </row>
    <row r="222" spans="1:8" x14ac:dyDescent="0.2">
      <c r="A222" t="s">
        <v>235</v>
      </c>
      <c r="B222" s="15" t="s">
        <v>497</v>
      </c>
      <c r="C222" t="s">
        <v>549</v>
      </c>
      <c r="D222" s="1">
        <v>25.281631469726563</v>
      </c>
      <c r="H222" s="15" t="s">
        <v>497</v>
      </c>
    </row>
    <row r="223" spans="1:8" x14ac:dyDescent="0.2">
      <c r="A223" t="s">
        <v>236</v>
      </c>
      <c r="B223" s="15" t="s">
        <v>498</v>
      </c>
      <c r="C223" t="s">
        <v>549</v>
      </c>
      <c r="D223" s="1">
        <v>25.37693977355957</v>
      </c>
      <c r="H223" s="15" t="s">
        <v>498</v>
      </c>
    </row>
    <row r="224" spans="1:8" x14ac:dyDescent="0.2">
      <c r="A224" t="s">
        <v>237</v>
      </c>
      <c r="B224" s="15" t="s">
        <v>511</v>
      </c>
      <c r="C224" t="s">
        <v>549</v>
      </c>
      <c r="D224" s="1">
        <v>24.037630081176758</v>
      </c>
      <c r="H224" s="15" t="s">
        <v>511</v>
      </c>
    </row>
    <row r="225" spans="1:8" x14ac:dyDescent="0.2">
      <c r="A225" t="s">
        <v>238</v>
      </c>
      <c r="B225" s="15" t="s">
        <v>499</v>
      </c>
      <c r="C225" t="s">
        <v>549</v>
      </c>
      <c r="D225" s="1">
        <v>24.449542999267578</v>
      </c>
      <c r="H225" s="15" t="s">
        <v>499</v>
      </c>
    </row>
    <row r="226" spans="1:8" x14ac:dyDescent="0.2">
      <c r="A226" t="s">
        <v>239</v>
      </c>
      <c r="B226" s="15" t="s">
        <v>500</v>
      </c>
      <c r="C226" t="s">
        <v>549</v>
      </c>
      <c r="D226" s="1">
        <v>25.125598907470703</v>
      </c>
      <c r="H226" s="15" t="s">
        <v>500</v>
      </c>
    </row>
    <row r="227" spans="1:8" x14ac:dyDescent="0.2">
      <c r="A227" t="s">
        <v>240</v>
      </c>
      <c r="B227" s="15" t="s">
        <v>512</v>
      </c>
      <c r="C227" t="s">
        <v>549</v>
      </c>
      <c r="D227" s="1">
        <v>25.203914642333984</v>
      </c>
      <c r="H227" s="15" t="s">
        <v>512</v>
      </c>
    </row>
    <row r="228" spans="1:8" x14ac:dyDescent="0.2">
      <c r="A228" t="s">
        <v>241</v>
      </c>
      <c r="B228" s="15" t="s">
        <v>501</v>
      </c>
      <c r="C228" t="s">
        <v>549</v>
      </c>
      <c r="D228" s="1">
        <v>25.522581100463867</v>
      </c>
      <c r="H228" s="15" t="s">
        <v>501</v>
      </c>
    </row>
    <row r="229" spans="1:8" x14ac:dyDescent="0.2">
      <c r="A229" t="s">
        <v>242</v>
      </c>
      <c r="B229" s="15" t="s">
        <v>502</v>
      </c>
      <c r="C229" t="s">
        <v>549</v>
      </c>
      <c r="D229" s="1">
        <v>25.30964469909668</v>
      </c>
      <c r="H229" s="15" t="s">
        <v>502</v>
      </c>
    </row>
    <row r="230" spans="1:8" x14ac:dyDescent="0.2">
      <c r="A230" t="s">
        <v>243</v>
      </c>
      <c r="B230" s="15" t="s">
        <v>513</v>
      </c>
      <c r="C230" t="s">
        <v>549</v>
      </c>
      <c r="D230" s="1">
        <v>25.062482833862305</v>
      </c>
      <c r="H230" s="15" t="s">
        <v>513</v>
      </c>
    </row>
    <row r="231" spans="1:8" x14ac:dyDescent="0.2">
      <c r="A231" t="s">
        <v>244</v>
      </c>
      <c r="B231" s="15" t="s">
        <v>503</v>
      </c>
      <c r="C231" t="s">
        <v>549</v>
      </c>
      <c r="D231" s="1">
        <v>25.06903076171875</v>
      </c>
      <c r="H231" s="15" t="s">
        <v>503</v>
      </c>
    </row>
    <row r="232" spans="1:8" x14ac:dyDescent="0.2">
      <c r="A232" t="s">
        <v>245</v>
      </c>
      <c r="B232" s="15" t="s">
        <v>504</v>
      </c>
      <c r="C232" t="s">
        <v>549</v>
      </c>
      <c r="D232" s="1" t="s">
        <v>55</v>
      </c>
      <c r="H232" s="15" t="s">
        <v>504</v>
      </c>
    </row>
    <row r="233" spans="1:8" x14ac:dyDescent="0.2">
      <c r="A233" t="s">
        <v>246</v>
      </c>
      <c r="B233" s="15" t="s">
        <v>514</v>
      </c>
      <c r="C233" t="s">
        <v>549</v>
      </c>
      <c r="D233" s="1">
        <v>23.67479133605957</v>
      </c>
      <c r="H233" s="15" t="s">
        <v>514</v>
      </c>
    </row>
    <row r="234" spans="1:8" x14ac:dyDescent="0.2">
      <c r="A234" t="s">
        <v>247</v>
      </c>
      <c r="B234" s="15" t="s">
        <v>505</v>
      </c>
      <c r="C234" t="s">
        <v>549</v>
      </c>
      <c r="D234" s="1">
        <v>25.127985000610352</v>
      </c>
      <c r="H234" s="15" t="s">
        <v>505</v>
      </c>
    </row>
    <row r="235" spans="1:8" x14ac:dyDescent="0.2">
      <c r="A235" t="s">
        <v>248</v>
      </c>
      <c r="B235" s="15" t="s">
        <v>506</v>
      </c>
      <c r="C235" t="s">
        <v>549</v>
      </c>
      <c r="D235" s="1">
        <v>24.966659545898438</v>
      </c>
      <c r="H235" s="15" t="s">
        <v>506</v>
      </c>
    </row>
    <row r="236" spans="1:8" x14ac:dyDescent="0.2">
      <c r="A236" t="s">
        <v>249</v>
      </c>
      <c r="B236" s="15" t="s">
        <v>515</v>
      </c>
      <c r="C236" t="s">
        <v>549</v>
      </c>
      <c r="D236" s="1">
        <v>25.236455917358398</v>
      </c>
      <c r="H236" s="15" t="s">
        <v>515</v>
      </c>
    </row>
    <row r="237" spans="1:8" x14ac:dyDescent="0.2">
      <c r="A237" t="s">
        <v>250</v>
      </c>
      <c r="B237" s="15" t="s">
        <v>516</v>
      </c>
      <c r="C237" t="s">
        <v>549</v>
      </c>
      <c r="D237" s="1">
        <v>25.222410202026367</v>
      </c>
      <c r="H237" s="15" t="s">
        <v>516</v>
      </c>
    </row>
    <row r="238" spans="1:8" x14ac:dyDescent="0.2">
      <c r="A238" t="s">
        <v>251</v>
      </c>
      <c r="B238" s="15" t="s">
        <v>517</v>
      </c>
      <c r="C238" t="s">
        <v>549</v>
      </c>
      <c r="D238" s="1">
        <v>25.595695495605469</v>
      </c>
      <c r="H238" s="15" t="s">
        <v>517</v>
      </c>
    </row>
    <row r="239" spans="1:8" x14ac:dyDescent="0.2">
      <c r="A239" t="s">
        <v>252</v>
      </c>
      <c r="B239" s="15" t="s">
        <v>518</v>
      </c>
      <c r="C239" t="s">
        <v>549</v>
      </c>
      <c r="D239" s="1">
        <v>24.954111099243164</v>
      </c>
      <c r="H239" s="15" t="s">
        <v>518</v>
      </c>
    </row>
    <row r="240" spans="1:8" x14ac:dyDescent="0.2">
      <c r="A240" t="s">
        <v>253</v>
      </c>
      <c r="B240" s="15" t="s">
        <v>519</v>
      </c>
      <c r="C240" t="s">
        <v>549</v>
      </c>
      <c r="D240" s="1">
        <v>25.477012634277344</v>
      </c>
      <c r="H240" s="15" t="s">
        <v>519</v>
      </c>
    </row>
    <row r="241" spans="1:8" x14ac:dyDescent="0.2">
      <c r="A241" t="s">
        <v>254</v>
      </c>
      <c r="B241" s="15" t="s">
        <v>520</v>
      </c>
      <c r="C241" t="s">
        <v>549</v>
      </c>
      <c r="D241" s="1">
        <v>25.291893005371094</v>
      </c>
      <c r="H241" s="15" t="s">
        <v>520</v>
      </c>
    </row>
    <row r="242" spans="1:8" x14ac:dyDescent="0.2">
      <c r="A242" t="s">
        <v>255</v>
      </c>
      <c r="B242" s="15" t="s">
        <v>521</v>
      </c>
      <c r="C242" t="s">
        <v>549</v>
      </c>
      <c r="D242" s="1">
        <v>25.313095092773438</v>
      </c>
      <c r="H242" s="15" t="s">
        <v>521</v>
      </c>
    </row>
    <row r="243" spans="1:8" x14ac:dyDescent="0.2">
      <c r="A243" t="s">
        <v>256</v>
      </c>
      <c r="B243" s="15" t="s">
        <v>522</v>
      </c>
      <c r="C243" t="s">
        <v>549</v>
      </c>
      <c r="D243" s="1">
        <v>25.502960205078125</v>
      </c>
      <c r="H243" s="15" t="s">
        <v>522</v>
      </c>
    </row>
    <row r="244" spans="1:8" x14ac:dyDescent="0.2">
      <c r="A244" t="s">
        <v>257</v>
      </c>
      <c r="B244" s="15" t="s">
        <v>523</v>
      </c>
      <c r="C244" t="s">
        <v>549</v>
      </c>
      <c r="D244" s="1">
        <v>16.090608596801758</v>
      </c>
      <c r="H244" s="15" t="s">
        <v>523</v>
      </c>
    </row>
    <row r="245" spans="1:8" x14ac:dyDescent="0.2">
      <c r="A245" t="s">
        <v>258</v>
      </c>
      <c r="B245" s="15" t="s">
        <v>524</v>
      </c>
      <c r="C245" t="s">
        <v>549</v>
      </c>
      <c r="D245" s="1">
        <v>27.062313079833984</v>
      </c>
      <c r="H245" s="15" t="s">
        <v>524</v>
      </c>
    </row>
    <row r="246" spans="1:8" x14ac:dyDescent="0.2">
      <c r="A246" t="s">
        <v>259</v>
      </c>
      <c r="B246" s="15" t="s">
        <v>525</v>
      </c>
      <c r="C246" t="s">
        <v>549</v>
      </c>
      <c r="D246" s="1">
        <v>25.704854965209961</v>
      </c>
      <c r="H246" s="15" t="s">
        <v>525</v>
      </c>
    </row>
    <row r="247" spans="1:8" x14ac:dyDescent="0.2">
      <c r="A247" t="s">
        <v>260</v>
      </c>
      <c r="B247" s="15" t="s">
        <v>526</v>
      </c>
      <c r="C247" t="s">
        <v>549</v>
      </c>
      <c r="D247" s="1">
        <v>25.401880264282227</v>
      </c>
      <c r="H247" s="15" t="s">
        <v>526</v>
      </c>
    </row>
    <row r="248" spans="1:8" x14ac:dyDescent="0.2">
      <c r="A248" t="s">
        <v>261</v>
      </c>
      <c r="B248" s="15" t="s">
        <v>527</v>
      </c>
      <c r="C248" t="s">
        <v>549</v>
      </c>
      <c r="D248" s="1">
        <v>24.298040390014648</v>
      </c>
      <c r="H248" s="15" t="s">
        <v>527</v>
      </c>
    </row>
    <row r="249" spans="1:8" x14ac:dyDescent="0.2">
      <c r="A249" t="s">
        <v>262</v>
      </c>
      <c r="B249" s="15" t="s">
        <v>528</v>
      </c>
      <c r="C249" t="s">
        <v>549</v>
      </c>
      <c r="D249" s="1">
        <v>24.176250457763672</v>
      </c>
      <c r="H249" s="15" t="s">
        <v>528</v>
      </c>
    </row>
    <row r="250" spans="1:8" x14ac:dyDescent="0.2">
      <c r="A250" t="s">
        <v>263</v>
      </c>
      <c r="B250" s="15" t="s">
        <v>529</v>
      </c>
      <c r="C250" t="s">
        <v>549</v>
      </c>
      <c r="D250" s="1">
        <v>25.348691940307617</v>
      </c>
      <c r="H250" s="15" t="s">
        <v>529</v>
      </c>
    </row>
    <row r="251" spans="1:8" x14ac:dyDescent="0.2">
      <c r="A251" t="s">
        <v>264</v>
      </c>
      <c r="B251" s="15" t="s">
        <v>530</v>
      </c>
      <c r="C251" t="s">
        <v>549</v>
      </c>
      <c r="D251" s="1">
        <v>25.338510513305664</v>
      </c>
      <c r="H251" s="15" t="s">
        <v>530</v>
      </c>
    </row>
    <row r="252" spans="1:8" x14ac:dyDescent="0.2">
      <c r="A252" t="s">
        <v>265</v>
      </c>
      <c r="B252" s="15" t="s">
        <v>531</v>
      </c>
      <c r="C252" t="s">
        <v>549</v>
      </c>
      <c r="D252" s="1">
        <v>25.921611785888672</v>
      </c>
      <c r="H252" s="15" t="s">
        <v>531</v>
      </c>
    </row>
    <row r="253" spans="1:8" x14ac:dyDescent="0.2">
      <c r="A253" t="s">
        <v>266</v>
      </c>
      <c r="B253" s="15" t="s">
        <v>532</v>
      </c>
      <c r="C253" t="s">
        <v>549</v>
      </c>
      <c r="D253" s="1">
        <v>25.358316421508789</v>
      </c>
      <c r="H253" s="15" t="s">
        <v>532</v>
      </c>
    </row>
    <row r="254" spans="1:8" x14ac:dyDescent="0.2">
      <c r="A254" t="s">
        <v>267</v>
      </c>
      <c r="B254" s="15" t="s">
        <v>533</v>
      </c>
      <c r="C254" t="s">
        <v>549</v>
      </c>
      <c r="D254" s="1">
        <v>25.011543273925781</v>
      </c>
      <c r="H254" s="15" t="s">
        <v>533</v>
      </c>
    </row>
    <row r="255" spans="1:8" x14ac:dyDescent="0.2">
      <c r="A255" t="s">
        <v>268</v>
      </c>
      <c r="B255" s="15" t="s">
        <v>534</v>
      </c>
      <c r="C255" t="s">
        <v>549</v>
      </c>
      <c r="D255" s="1">
        <v>25.360671997070313</v>
      </c>
      <c r="H255" s="15" t="s">
        <v>534</v>
      </c>
    </row>
    <row r="256" spans="1:8" x14ac:dyDescent="0.2">
      <c r="A256" t="s">
        <v>269</v>
      </c>
      <c r="B256" s="15" t="s">
        <v>535</v>
      </c>
      <c r="C256" t="s">
        <v>549</v>
      </c>
      <c r="D256" s="1" t="s">
        <v>55</v>
      </c>
      <c r="H256" s="15" t="s">
        <v>535</v>
      </c>
    </row>
    <row r="257" spans="1:8" x14ac:dyDescent="0.2">
      <c r="A257" t="s">
        <v>270</v>
      </c>
      <c r="B257" s="15" t="s">
        <v>536</v>
      </c>
      <c r="C257" t="s">
        <v>549</v>
      </c>
      <c r="D257" s="1">
        <v>24.495010375976563</v>
      </c>
      <c r="H257" s="15" t="s">
        <v>536</v>
      </c>
    </row>
    <row r="258" spans="1:8" x14ac:dyDescent="0.2">
      <c r="A258" t="s">
        <v>271</v>
      </c>
      <c r="B258" s="15" t="s">
        <v>537</v>
      </c>
      <c r="C258" t="s">
        <v>549</v>
      </c>
      <c r="D258" s="1">
        <v>25.359048843383789</v>
      </c>
      <c r="H258" s="15" t="s">
        <v>537</v>
      </c>
    </row>
    <row r="259" spans="1:8" x14ac:dyDescent="0.2">
      <c r="A259" t="s">
        <v>272</v>
      </c>
      <c r="B259" s="15" t="s">
        <v>538</v>
      </c>
      <c r="C259" t="s">
        <v>549</v>
      </c>
      <c r="D259" s="1">
        <v>25.284595489501953</v>
      </c>
      <c r="H259" s="15" t="s">
        <v>538</v>
      </c>
    </row>
    <row r="260" spans="1:8" x14ac:dyDescent="0.2">
      <c r="A260" t="s">
        <v>273</v>
      </c>
      <c r="B260" s="15" t="s">
        <v>539</v>
      </c>
      <c r="C260" t="s">
        <v>549</v>
      </c>
      <c r="D260" s="1">
        <v>25.331933975219727</v>
      </c>
      <c r="H260" s="15" t="s">
        <v>539</v>
      </c>
    </row>
    <row r="261" spans="1:8" x14ac:dyDescent="0.2">
      <c r="A261" t="s">
        <v>274</v>
      </c>
      <c r="B261" s="15" t="s">
        <v>540</v>
      </c>
      <c r="C261" t="s">
        <v>549</v>
      </c>
      <c r="D261" s="1">
        <v>25.275674819946289</v>
      </c>
      <c r="H261" s="15" t="s">
        <v>540</v>
      </c>
    </row>
    <row r="262" spans="1:8" x14ac:dyDescent="0.2">
      <c r="A262" t="s">
        <v>275</v>
      </c>
      <c r="B262" s="15" t="s">
        <v>541</v>
      </c>
      <c r="C262" t="s">
        <v>549</v>
      </c>
      <c r="D262" s="1">
        <v>25.377237319946289</v>
      </c>
      <c r="H262" s="15" t="s">
        <v>541</v>
      </c>
    </row>
    <row r="263" spans="1:8" x14ac:dyDescent="0.2">
      <c r="A263" t="s">
        <v>276</v>
      </c>
      <c r="B263" s="15" t="s">
        <v>542</v>
      </c>
      <c r="C263" t="s">
        <v>549</v>
      </c>
      <c r="D263" s="1">
        <v>25.096195220947266</v>
      </c>
      <c r="H263" s="15" t="s">
        <v>542</v>
      </c>
    </row>
    <row r="264" spans="1:8" x14ac:dyDescent="0.2">
      <c r="A264" t="s">
        <v>277</v>
      </c>
      <c r="B264" s="3" t="s">
        <v>457</v>
      </c>
      <c r="C264" t="s">
        <v>549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549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549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549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549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549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549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549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549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549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549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549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549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549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549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549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549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549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550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550</v>
      </c>
      <c r="D283" s="1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550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550</v>
      </c>
      <c r="D285" s="1">
        <v>24.975404739379883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550</v>
      </c>
      <c r="D286" s="1">
        <v>24.880451202392578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550</v>
      </c>
      <c r="D287" s="1">
        <v>24.810474395751953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550</v>
      </c>
      <c r="D288" s="1">
        <v>25.85667610168457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550</v>
      </c>
      <c r="D289" s="1">
        <v>25.899835586547852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550</v>
      </c>
      <c r="D290" s="1">
        <v>25.669580459594727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550</v>
      </c>
      <c r="D291" s="1">
        <v>26.971530914306641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550</v>
      </c>
      <c r="D292" s="1">
        <v>26.979719161987305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550</v>
      </c>
      <c r="D293" s="1">
        <v>27.000415802001953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550</v>
      </c>
      <c r="D294" s="1">
        <v>27.990291595458984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550</v>
      </c>
      <c r="D295" s="1">
        <v>28.188919067382813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550</v>
      </c>
      <c r="D296" s="1">
        <v>27.712003707885742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550</v>
      </c>
      <c r="D297" s="1">
        <v>29.026042938232422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550</v>
      </c>
      <c r="D298" s="1">
        <v>29.017616271972656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550</v>
      </c>
      <c r="D299" s="1">
        <v>29.086633682250977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550</v>
      </c>
      <c r="D300" s="1">
        <v>30.319162368774414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550</v>
      </c>
      <c r="D301" s="1">
        <v>30.199081420898438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550</v>
      </c>
      <c r="D302" s="1">
        <v>30.435985565185547</v>
      </c>
      <c r="H302" s="3" t="s">
        <v>435</v>
      </c>
    </row>
    <row r="303" spans="1:8" x14ac:dyDescent="0.2">
      <c r="A303" t="s">
        <v>316</v>
      </c>
      <c r="B303" s="15" t="s">
        <v>462</v>
      </c>
      <c r="C303" t="s">
        <v>550</v>
      </c>
      <c r="D303" s="1">
        <v>26.915658950805664</v>
      </c>
      <c r="H303" s="15" t="s">
        <v>462</v>
      </c>
    </row>
    <row r="304" spans="1:8" x14ac:dyDescent="0.2">
      <c r="A304" t="s">
        <v>317</v>
      </c>
      <c r="B304" s="15" t="s">
        <v>463</v>
      </c>
      <c r="C304" t="s">
        <v>550</v>
      </c>
      <c r="D304" s="1">
        <v>27.045953750610352</v>
      </c>
      <c r="H304" s="15" t="s">
        <v>463</v>
      </c>
    </row>
    <row r="305" spans="1:8" x14ac:dyDescent="0.2">
      <c r="A305" t="s">
        <v>318</v>
      </c>
      <c r="B305" s="15" t="s">
        <v>464</v>
      </c>
      <c r="C305" t="s">
        <v>550</v>
      </c>
      <c r="D305" s="1">
        <v>26.962030410766602</v>
      </c>
      <c r="H305" s="15" t="s">
        <v>464</v>
      </c>
    </row>
    <row r="306" spans="1:8" x14ac:dyDescent="0.2">
      <c r="A306" t="s">
        <v>319</v>
      </c>
      <c r="B306" s="15" t="s">
        <v>465</v>
      </c>
      <c r="C306" t="s">
        <v>550</v>
      </c>
      <c r="D306" s="1">
        <v>27.305580139160156</v>
      </c>
      <c r="H306" s="15" t="s">
        <v>465</v>
      </c>
    </row>
    <row r="307" spans="1:8" x14ac:dyDescent="0.2">
      <c r="A307" t="s">
        <v>320</v>
      </c>
      <c r="B307" s="15" t="s">
        <v>466</v>
      </c>
      <c r="C307" t="s">
        <v>550</v>
      </c>
      <c r="D307" s="1">
        <v>27.318620681762695</v>
      </c>
      <c r="H307" s="15" t="s">
        <v>466</v>
      </c>
    </row>
    <row r="308" spans="1:8" x14ac:dyDescent="0.2">
      <c r="A308" t="s">
        <v>321</v>
      </c>
      <c r="B308" s="15" t="s">
        <v>467</v>
      </c>
      <c r="C308" t="s">
        <v>550</v>
      </c>
      <c r="D308" s="1">
        <v>27.200017929077148</v>
      </c>
      <c r="H308" s="15" t="s">
        <v>467</v>
      </c>
    </row>
    <row r="309" spans="1:8" x14ac:dyDescent="0.2">
      <c r="A309" t="s">
        <v>322</v>
      </c>
      <c r="B309" s="15" t="s">
        <v>468</v>
      </c>
      <c r="C309" t="s">
        <v>550</v>
      </c>
      <c r="D309" s="1">
        <v>27.131769180297852</v>
      </c>
      <c r="H309" s="15" t="s">
        <v>468</v>
      </c>
    </row>
    <row r="310" spans="1:8" x14ac:dyDescent="0.2">
      <c r="A310" t="s">
        <v>323</v>
      </c>
      <c r="B310" s="15" t="s">
        <v>469</v>
      </c>
      <c r="C310" t="s">
        <v>550</v>
      </c>
      <c r="D310" s="1">
        <v>26.91234016418457</v>
      </c>
      <c r="H310" s="15" t="s">
        <v>469</v>
      </c>
    </row>
    <row r="311" spans="1:8" x14ac:dyDescent="0.2">
      <c r="A311" t="s">
        <v>324</v>
      </c>
      <c r="B311" s="15" t="s">
        <v>470</v>
      </c>
      <c r="C311" t="s">
        <v>550</v>
      </c>
      <c r="D311" s="1">
        <v>26.991704940795898</v>
      </c>
      <c r="H311" s="15" t="s">
        <v>470</v>
      </c>
    </row>
    <row r="312" spans="1:8" x14ac:dyDescent="0.2">
      <c r="A312" t="s">
        <v>325</v>
      </c>
      <c r="B312" s="15" t="s">
        <v>471</v>
      </c>
      <c r="C312" t="s">
        <v>550</v>
      </c>
      <c r="D312" s="1">
        <v>26.817050933837891</v>
      </c>
      <c r="H312" s="15" t="s">
        <v>471</v>
      </c>
    </row>
    <row r="313" spans="1:8" x14ac:dyDescent="0.2">
      <c r="A313" t="s">
        <v>326</v>
      </c>
      <c r="B313" s="15" t="s">
        <v>472</v>
      </c>
      <c r="C313" t="s">
        <v>550</v>
      </c>
      <c r="D313" s="1">
        <v>26.776494979858398</v>
      </c>
      <c r="H313" s="15" t="s">
        <v>472</v>
      </c>
    </row>
    <row r="314" spans="1:8" x14ac:dyDescent="0.2">
      <c r="A314" t="s">
        <v>327</v>
      </c>
      <c r="B314" s="15" t="s">
        <v>473</v>
      </c>
      <c r="C314" t="s">
        <v>550</v>
      </c>
      <c r="D314" s="1">
        <v>26.783153533935547</v>
      </c>
      <c r="H314" s="15" t="s">
        <v>473</v>
      </c>
    </row>
    <row r="315" spans="1:8" x14ac:dyDescent="0.2">
      <c r="A315" t="s">
        <v>328</v>
      </c>
      <c r="B315" s="15" t="s">
        <v>474</v>
      </c>
      <c r="C315" t="s">
        <v>550</v>
      </c>
      <c r="D315" s="1">
        <v>26.836767196655273</v>
      </c>
      <c r="H315" s="15" t="s">
        <v>474</v>
      </c>
    </row>
    <row r="316" spans="1:8" x14ac:dyDescent="0.2">
      <c r="A316" t="s">
        <v>329</v>
      </c>
      <c r="B316" s="15" t="s">
        <v>475</v>
      </c>
      <c r="C316" t="s">
        <v>550</v>
      </c>
      <c r="D316" s="1">
        <v>26.71441650390625</v>
      </c>
      <c r="H316" s="15" t="s">
        <v>475</v>
      </c>
    </row>
    <row r="317" spans="1:8" x14ac:dyDescent="0.2">
      <c r="A317" t="s">
        <v>330</v>
      </c>
      <c r="B317" s="15" t="s">
        <v>476</v>
      </c>
      <c r="C317" t="s">
        <v>550</v>
      </c>
      <c r="D317" s="1">
        <v>26.799459457397461</v>
      </c>
      <c r="H317" s="15" t="s">
        <v>476</v>
      </c>
    </row>
    <row r="318" spans="1:8" x14ac:dyDescent="0.2">
      <c r="A318" t="s">
        <v>331</v>
      </c>
      <c r="B318" s="15" t="s">
        <v>477</v>
      </c>
      <c r="C318" t="s">
        <v>550</v>
      </c>
      <c r="D318" s="1">
        <v>26.656606674194336</v>
      </c>
      <c r="H318" s="15" t="s">
        <v>477</v>
      </c>
    </row>
    <row r="319" spans="1:8" x14ac:dyDescent="0.2">
      <c r="A319" t="s">
        <v>332</v>
      </c>
      <c r="B319" s="15" t="s">
        <v>478</v>
      </c>
      <c r="C319" t="s">
        <v>550</v>
      </c>
      <c r="D319" s="1">
        <v>26.676061630249023</v>
      </c>
      <c r="H319" s="15" t="s">
        <v>478</v>
      </c>
    </row>
    <row r="320" spans="1:8" x14ac:dyDescent="0.2">
      <c r="A320" t="s">
        <v>333</v>
      </c>
      <c r="B320" s="15" t="s">
        <v>479</v>
      </c>
      <c r="C320" t="s">
        <v>550</v>
      </c>
      <c r="D320" s="1">
        <v>26.662357330322266</v>
      </c>
      <c r="H320" s="15" t="s">
        <v>479</v>
      </c>
    </row>
    <row r="321" spans="1:8" x14ac:dyDescent="0.2">
      <c r="A321" t="s">
        <v>334</v>
      </c>
      <c r="B321" s="15" t="s">
        <v>480</v>
      </c>
      <c r="C321" t="s">
        <v>550</v>
      </c>
      <c r="D321" s="1">
        <v>26.902912139892578</v>
      </c>
      <c r="H321" s="15" t="s">
        <v>480</v>
      </c>
    </row>
    <row r="322" spans="1:8" x14ac:dyDescent="0.2">
      <c r="A322" t="s">
        <v>335</v>
      </c>
      <c r="B322" s="15" t="s">
        <v>481</v>
      </c>
      <c r="C322" t="s">
        <v>550</v>
      </c>
      <c r="D322" s="1">
        <v>26.749208450317383</v>
      </c>
      <c r="H322" s="15" t="s">
        <v>481</v>
      </c>
    </row>
    <row r="323" spans="1:8" x14ac:dyDescent="0.2">
      <c r="A323" t="s">
        <v>336</v>
      </c>
      <c r="B323" s="15" t="s">
        <v>482</v>
      </c>
      <c r="C323" t="s">
        <v>550</v>
      </c>
      <c r="D323" s="1">
        <v>26.676671981811523</v>
      </c>
      <c r="H323" s="15" t="s">
        <v>482</v>
      </c>
    </row>
    <row r="324" spans="1:8" x14ac:dyDescent="0.2">
      <c r="A324" t="s">
        <v>337</v>
      </c>
      <c r="B324" s="15" t="s">
        <v>483</v>
      </c>
      <c r="C324" t="s">
        <v>550</v>
      </c>
      <c r="D324" s="1">
        <v>26.307559967041016</v>
      </c>
      <c r="H324" s="15" t="s">
        <v>483</v>
      </c>
    </row>
    <row r="325" spans="1:8" x14ac:dyDescent="0.2">
      <c r="A325" t="s">
        <v>338</v>
      </c>
      <c r="B325" s="15" t="s">
        <v>484</v>
      </c>
      <c r="C325" t="s">
        <v>550</v>
      </c>
      <c r="D325" s="1">
        <v>26.355405807495117</v>
      </c>
      <c r="H325" s="15" t="s">
        <v>484</v>
      </c>
    </row>
    <row r="326" spans="1:8" x14ac:dyDescent="0.2">
      <c r="A326" t="s">
        <v>339</v>
      </c>
      <c r="B326" s="15" t="s">
        <v>485</v>
      </c>
      <c r="C326" t="s">
        <v>550</v>
      </c>
      <c r="D326" s="1">
        <v>26.339715957641602</v>
      </c>
      <c r="H326" s="15" t="s">
        <v>485</v>
      </c>
    </row>
    <row r="327" spans="1:8" x14ac:dyDescent="0.2">
      <c r="A327" t="s">
        <v>340</v>
      </c>
      <c r="B327" s="15" t="s">
        <v>486</v>
      </c>
      <c r="C327" t="s">
        <v>550</v>
      </c>
      <c r="D327" s="1">
        <v>26.322710037231445</v>
      </c>
      <c r="H327" s="15" t="s">
        <v>486</v>
      </c>
    </row>
    <row r="328" spans="1:8" x14ac:dyDescent="0.2">
      <c r="A328" t="s">
        <v>341</v>
      </c>
      <c r="B328" s="15" t="s">
        <v>487</v>
      </c>
      <c r="C328" t="s">
        <v>550</v>
      </c>
      <c r="D328" s="1">
        <v>26.782573699951172</v>
      </c>
      <c r="H328" s="15" t="s">
        <v>487</v>
      </c>
    </row>
    <row r="329" spans="1:8" x14ac:dyDescent="0.2">
      <c r="A329" t="s">
        <v>342</v>
      </c>
      <c r="B329" s="15" t="s">
        <v>488</v>
      </c>
      <c r="C329" t="s">
        <v>550</v>
      </c>
      <c r="D329" s="1">
        <v>26.958881378173828</v>
      </c>
      <c r="H329" s="15" t="s">
        <v>488</v>
      </c>
    </row>
    <row r="330" spans="1:8" x14ac:dyDescent="0.2">
      <c r="A330" t="s">
        <v>343</v>
      </c>
      <c r="B330" s="15" t="s">
        <v>489</v>
      </c>
      <c r="C330" t="s">
        <v>550</v>
      </c>
      <c r="D330" s="1">
        <v>27.048650741577148</v>
      </c>
      <c r="H330" s="15" t="s">
        <v>489</v>
      </c>
    </row>
    <row r="331" spans="1:8" x14ac:dyDescent="0.2">
      <c r="A331" t="s">
        <v>344</v>
      </c>
      <c r="B331" s="15" t="s">
        <v>490</v>
      </c>
      <c r="C331" t="s">
        <v>550</v>
      </c>
      <c r="D331" s="1">
        <v>27.197938919067383</v>
      </c>
      <c r="H331" s="15" t="s">
        <v>490</v>
      </c>
    </row>
    <row r="332" spans="1:8" x14ac:dyDescent="0.2">
      <c r="A332" t="s">
        <v>345</v>
      </c>
      <c r="B332" s="15" t="s">
        <v>507</v>
      </c>
      <c r="C332" t="s">
        <v>550</v>
      </c>
      <c r="D332" s="1">
        <v>26.919111251831055</v>
      </c>
      <c r="H332" s="15" t="s">
        <v>507</v>
      </c>
    </row>
    <row r="333" spans="1:8" x14ac:dyDescent="0.2">
      <c r="A333" t="s">
        <v>346</v>
      </c>
      <c r="B333" s="15" t="s">
        <v>491</v>
      </c>
      <c r="C333" t="s">
        <v>550</v>
      </c>
      <c r="D333" s="1">
        <v>26.961391448974609</v>
      </c>
      <c r="H333" s="15" t="s">
        <v>491</v>
      </c>
    </row>
    <row r="334" spans="1:8" x14ac:dyDescent="0.2">
      <c r="A334" t="s">
        <v>347</v>
      </c>
      <c r="B334" s="15" t="s">
        <v>492</v>
      </c>
      <c r="C334" t="s">
        <v>550</v>
      </c>
      <c r="D334" s="1">
        <v>27.019868850708008</v>
      </c>
      <c r="H334" s="15" t="s">
        <v>492</v>
      </c>
    </row>
    <row r="335" spans="1:8" x14ac:dyDescent="0.2">
      <c r="A335" t="s">
        <v>348</v>
      </c>
      <c r="B335" s="15" t="s">
        <v>508</v>
      </c>
      <c r="C335" t="s">
        <v>550</v>
      </c>
      <c r="D335" s="1">
        <v>26.960748672485352</v>
      </c>
      <c r="H335" s="15" t="s">
        <v>508</v>
      </c>
    </row>
    <row r="336" spans="1:8" x14ac:dyDescent="0.2">
      <c r="A336" t="s">
        <v>349</v>
      </c>
      <c r="B336" s="15" t="s">
        <v>493</v>
      </c>
      <c r="C336" t="s">
        <v>550</v>
      </c>
      <c r="D336" s="1">
        <v>26.611948013305664</v>
      </c>
      <c r="H336" s="15" t="s">
        <v>493</v>
      </c>
    </row>
    <row r="337" spans="1:8" x14ac:dyDescent="0.2">
      <c r="A337" t="s">
        <v>350</v>
      </c>
      <c r="B337" s="15" t="s">
        <v>494</v>
      </c>
      <c r="C337" t="s">
        <v>550</v>
      </c>
      <c r="D337" s="1">
        <v>26.529964447021484</v>
      </c>
      <c r="H337" s="15" t="s">
        <v>494</v>
      </c>
    </row>
    <row r="338" spans="1:8" x14ac:dyDescent="0.2">
      <c r="A338" t="s">
        <v>351</v>
      </c>
      <c r="B338" s="15" t="s">
        <v>509</v>
      </c>
      <c r="C338" t="s">
        <v>550</v>
      </c>
      <c r="D338" s="1">
        <v>26.518064498901367</v>
      </c>
      <c r="H338" s="15" t="s">
        <v>509</v>
      </c>
    </row>
    <row r="339" spans="1:8" x14ac:dyDescent="0.2">
      <c r="A339" t="s">
        <v>352</v>
      </c>
      <c r="B339" s="15" t="s">
        <v>495</v>
      </c>
      <c r="C339" t="s">
        <v>550</v>
      </c>
      <c r="D339" s="1">
        <v>26.402877807617188</v>
      </c>
      <c r="H339" s="15" t="s">
        <v>495</v>
      </c>
    </row>
    <row r="340" spans="1:8" x14ac:dyDescent="0.2">
      <c r="A340" t="s">
        <v>353</v>
      </c>
      <c r="B340" s="15" t="s">
        <v>496</v>
      </c>
      <c r="C340" t="s">
        <v>550</v>
      </c>
      <c r="D340" s="1">
        <v>26.572332382202148</v>
      </c>
      <c r="H340" s="15" t="s">
        <v>496</v>
      </c>
    </row>
    <row r="341" spans="1:8" x14ac:dyDescent="0.2">
      <c r="A341" t="s">
        <v>354</v>
      </c>
      <c r="B341" s="15" t="s">
        <v>510</v>
      </c>
      <c r="C341" t="s">
        <v>550</v>
      </c>
      <c r="D341" s="1">
        <v>26.721443176269531</v>
      </c>
      <c r="H341" s="15" t="s">
        <v>510</v>
      </c>
    </row>
    <row r="342" spans="1:8" x14ac:dyDescent="0.2">
      <c r="A342" t="s">
        <v>355</v>
      </c>
      <c r="B342" s="15" t="s">
        <v>497</v>
      </c>
      <c r="C342" t="s">
        <v>550</v>
      </c>
      <c r="D342" s="1">
        <v>26.900171279907227</v>
      </c>
      <c r="H342" s="15" t="s">
        <v>497</v>
      </c>
    </row>
    <row r="343" spans="1:8" x14ac:dyDescent="0.2">
      <c r="A343" t="s">
        <v>356</v>
      </c>
      <c r="B343" s="15" t="s">
        <v>498</v>
      </c>
      <c r="C343" t="s">
        <v>550</v>
      </c>
      <c r="D343" s="1">
        <v>26.861038208007813</v>
      </c>
      <c r="H343" s="15" t="s">
        <v>498</v>
      </c>
    </row>
    <row r="344" spans="1:8" x14ac:dyDescent="0.2">
      <c r="A344" t="s">
        <v>357</v>
      </c>
      <c r="B344" s="15" t="s">
        <v>511</v>
      </c>
      <c r="C344" t="s">
        <v>550</v>
      </c>
      <c r="D344" s="1">
        <v>26.816843032836914</v>
      </c>
      <c r="H344" s="15" t="s">
        <v>511</v>
      </c>
    </row>
    <row r="345" spans="1:8" x14ac:dyDescent="0.2">
      <c r="A345" t="s">
        <v>358</v>
      </c>
      <c r="B345" s="15" t="s">
        <v>499</v>
      </c>
      <c r="C345" t="s">
        <v>550</v>
      </c>
      <c r="D345" s="1">
        <v>26.94603157043457</v>
      </c>
      <c r="H345" s="15" t="s">
        <v>499</v>
      </c>
    </row>
    <row r="346" spans="1:8" x14ac:dyDescent="0.2">
      <c r="A346" t="s">
        <v>359</v>
      </c>
      <c r="B346" s="15" t="s">
        <v>500</v>
      </c>
      <c r="C346" t="s">
        <v>550</v>
      </c>
      <c r="D346" s="1">
        <v>26.770290374755859</v>
      </c>
      <c r="H346" s="15" t="s">
        <v>500</v>
      </c>
    </row>
    <row r="347" spans="1:8" x14ac:dyDescent="0.2">
      <c r="A347" t="s">
        <v>360</v>
      </c>
      <c r="B347" s="15" t="s">
        <v>512</v>
      </c>
      <c r="C347" t="s">
        <v>550</v>
      </c>
      <c r="D347" s="1">
        <v>26.92864990234375</v>
      </c>
      <c r="H347" s="15" t="s">
        <v>512</v>
      </c>
    </row>
    <row r="348" spans="1:8" x14ac:dyDescent="0.2">
      <c r="A348" t="s">
        <v>361</v>
      </c>
      <c r="B348" s="15" t="s">
        <v>501</v>
      </c>
      <c r="C348" t="s">
        <v>550</v>
      </c>
      <c r="D348" s="1">
        <v>27.144174575805664</v>
      </c>
      <c r="H348" s="15" t="s">
        <v>501</v>
      </c>
    </row>
    <row r="349" spans="1:8" x14ac:dyDescent="0.2">
      <c r="A349" t="s">
        <v>362</v>
      </c>
      <c r="B349" s="15" t="s">
        <v>502</v>
      </c>
      <c r="C349" t="s">
        <v>550</v>
      </c>
      <c r="D349" s="1">
        <v>27.069564819335938</v>
      </c>
      <c r="H349" s="15" t="s">
        <v>502</v>
      </c>
    </row>
    <row r="350" spans="1:8" x14ac:dyDescent="0.2">
      <c r="A350" t="s">
        <v>363</v>
      </c>
      <c r="B350" s="15" t="s">
        <v>513</v>
      </c>
      <c r="C350" t="s">
        <v>550</v>
      </c>
      <c r="D350" s="1">
        <v>27.192510604858398</v>
      </c>
      <c r="H350" s="15" t="s">
        <v>513</v>
      </c>
    </row>
    <row r="351" spans="1:8" x14ac:dyDescent="0.2">
      <c r="A351" t="s">
        <v>364</v>
      </c>
      <c r="B351" s="15" t="s">
        <v>503</v>
      </c>
      <c r="C351" t="s">
        <v>550</v>
      </c>
      <c r="D351" s="1">
        <v>26.695304870605469</v>
      </c>
      <c r="H351" s="15" t="s">
        <v>503</v>
      </c>
    </row>
    <row r="352" spans="1:8" x14ac:dyDescent="0.2">
      <c r="A352" t="s">
        <v>365</v>
      </c>
      <c r="B352" s="15" t="s">
        <v>504</v>
      </c>
      <c r="C352" t="s">
        <v>550</v>
      </c>
      <c r="D352" s="1">
        <v>26.77076530456543</v>
      </c>
      <c r="H352" s="15" t="s">
        <v>504</v>
      </c>
    </row>
    <row r="353" spans="1:8" x14ac:dyDescent="0.2">
      <c r="A353" t="s">
        <v>366</v>
      </c>
      <c r="B353" s="15" t="s">
        <v>514</v>
      </c>
      <c r="C353" t="s">
        <v>550</v>
      </c>
      <c r="D353" s="1">
        <v>26.68968391418457</v>
      </c>
      <c r="H353" s="15" t="s">
        <v>514</v>
      </c>
    </row>
    <row r="354" spans="1:8" x14ac:dyDescent="0.2">
      <c r="A354" t="s">
        <v>367</v>
      </c>
      <c r="B354" s="15" t="s">
        <v>505</v>
      </c>
      <c r="C354" t="s">
        <v>550</v>
      </c>
      <c r="D354" s="1">
        <v>26.948017120361328</v>
      </c>
      <c r="H354" s="15" t="s">
        <v>505</v>
      </c>
    </row>
    <row r="355" spans="1:8" x14ac:dyDescent="0.2">
      <c r="A355" t="s">
        <v>368</v>
      </c>
      <c r="B355" s="15" t="s">
        <v>506</v>
      </c>
      <c r="C355" t="s">
        <v>550</v>
      </c>
      <c r="D355" s="1">
        <v>26.921176910400391</v>
      </c>
      <c r="H355" s="15" t="s">
        <v>506</v>
      </c>
    </row>
    <row r="356" spans="1:8" x14ac:dyDescent="0.2">
      <c r="A356" t="s">
        <v>369</v>
      </c>
      <c r="B356" s="15" t="s">
        <v>515</v>
      </c>
      <c r="C356" t="s">
        <v>550</v>
      </c>
      <c r="D356" s="1">
        <v>26.825254440307617</v>
      </c>
      <c r="H356" s="15" t="s">
        <v>515</v>
      </c>
    </row>
    <row r="357" spans="1:8" x14ac:dyDescent="0.2">
      <c r="A357" t="s">
        <v>370</v>
      </c>
      <c r="B357" s="15" t="s">
        <v>516</v>
      </c>
      <c r="C357" t="s">
        <v>550</v>
      </c>
      <c r="D357" s="1">
        <v>27.032604217529297</v>
      </c>
      <c r="H357" s="15" t="s">
        <v>516</v>
      </c>
    </row>
    <row r="358" spans="1:8" x14ac:dyDescent="0.2">
      <c r="A358" t="s">
        <v>371</v>
      </c>
      <c r="B358" s="15" t="s">
        <v>517</v>
      </c>
      <c r="C358" t="s">
        <v>550</v>
      </c>
      <c r="D358" s="1">
        <v>26.988321304321289</v>
      </c>
      <c r="H358" s="15" t="s">
        <v>517</v>
      </c>
    </row>
    <row r="359" spans="1:8" x14ac:dyDescent="0.2">
      <c r="A359" t="s">
        <v>372</v>
      </c>
      <c r="B359" s="15" t="s">
        <v>518</v>
      </c>
      <c r="C359" t="s">
        <v>550</v>
      </c>
      <c r="D359" s="1">
        <v>26.878631591796875</v>
      </c>
      <c r="H359" s="15" t="s">
        <v>518</v>
      </c>
    </row>
    <row r="360" spans="1:8" x14ac:dyDescent="0.2">
      <c r="A360" t="s">
        <v>373</v>
      </c>
      <c r="B360" s="15" t="s">
        <v>519</v>
      </c>
      <c r="C360" t="s">
        <v>550</v>
      </c>
      <c r="D360" s="1">
        <v>26.539157867431641</v>
      </c>
      <c r="H360" s="15" t="s">
        <v>519</v>
      </c>
    </row>
    <row r="361" spans="1:8" x14ac:dyDescent="0.2">
      <c r="A361" t="s">
        <v>374</v>
      </c>
      <c r="B361" s="15" t="s">
        <v>520</v>
      </c>
      <c r="C361" t="s">
        <v>550</v>
      </c>
      <c r="D361" s="1">
        <v>26.704504013061523</v>
      </c>
      <c r="H361" s="15" t="s">
        <v>520</v>
      </c>
    </row>
    <row r="362" spans="1:8" x14ac:dyDescent="0.2">
      <c r="A362" t="s">
        <v>375</v>
      </c>
      <c r="B362" s="15" t="s">
        <v>521</v>
      </c>
      <c r="C362" t="s">
        <v>550</v>
      </c>
      <c r="D362" s="1">
        <v>26.749391555786133</v>
      </c>
      <c r="H362" s="15" t="s">
        <v>521</v>
      </c>
    </row>
    <row r="363" spans="1:8" x14ac:dyDescent="0.2">
      <c r="A363" t="s">
        <v>376</v>
      </c>
      <c r="B363" s="15" t="s">
        <v>522</v>
      </c>
      <c r="C363" t="s">
        <v>550</v>
      </c>
      <c r="D363" s="1">
        <v>26.989042282104492</v>
      </c>
      <c r="H363" s="15" t="s">
        <v>522</v>
      </c>
    </row>
    <row r="364" spans="1:8" x14ac:dyDescent="0.2">
      <c r="A364" t="s">
        <v>377</v>
      </c>
      <c r="B364" s="15" t="s">
        <v>523</v>
      </c>
      <c r="C364" t="s">
        <v>550</v>
      </c>
      <c r="D364" s="1">
        <v>26.766860961914063</v>
      </c>
      <c r="H364" s="15" t="s">
        <v>523</v>
      </c>
    </row>
    <row r="365" spans="1:8" x14ac:dyDescent="0.2">
      <c r="A365" t="s">
        <v>378</v>
      </c>
      <c r="B365" s="15" t="s">
        <v>524</v>
      </c>
      <c r="C365" t="s">
        <v>550</v>
      </c>
      <c r="D365" s="1">
        <v>27.13838005065918</v>
      </c>
      <c r="H365" s="15" t="s">
        <v>524</v>
      </c>
    </row>
    <row r="366" spans="1:8" x14ac:dyDescent="0.2">
      <c r="A366" t="s">
        <v>379</v>
      </c>
      <c r="B366" s="15" t="s">
        <v>525</v>
      </c>
      <c r="C366" t="s">
        <v>550</v>
      </c>
      <c r="D366" s="1">
        <v>27.030233383178711</v>
      </c>
      <c r="H366" s="15" t="s">
        <v>525</v>
      </c>
    </row>
    <row r="367" spans="1:8" x14ac:dyDescent="0.2">
      <c r="A367" t="s">
        <v>380</v>
      </c>
      <c r="B367" s="15" t="s">
        <v>526</v>
      </c>
      <c r="C367" t="s">
        <v>550</v>
      </c>
      <c r="D367" s="1">
        <v>27.056730270385742</v>
      </c>
      <c r="H367" s="15" t="s">
        <v>526</v>
      </c>
    </row>
    <row r="368" spans="1:8" x14ac:dyDescent="0.2">
      <c r="A368" t="s">
        <v>381</v>
      </c>
      <c r="B368" s="15" t="s">
        <v>527</v>
      </c>
      <c r="C368" t="s">
        <v>550</v>
      </c>
      <c r="D368" s="1">
        <v>26.883186340332031</v>
      </c>
      <c r="H368" s="15" t="s">
        <v>527</v>
      </c>
    </row>
    <row r="369" spans="1:8" x14ac:dyDescent="0.2">
      <c r="A369" t="s">
        <v>382</v>
      </c>
      <c r="B369" s="15" t="s">
        <v>528</v>
      </c>
      <c r="C369" t="s">
        <v>550</v>
      </c>
      <c r="D369" s="1">
        <v>26.695327758789063</v>
      </c>
      <c r="H369" s="15" t="s">
        <v>528</v>
      </c>
    </row>
    <row r="370" spans="1:8" x14ac:dyDescent="0.2">
      <c r="A370" t="s">
        <v>383</v>
      </c>
      <c r="B370" s="15" t="s">
        <v>529</v>
      </c>
      <c r="C370" t="s">
        <v>550</v>
      </c>
      <c r="D370" s="1">
        <v>26.731073379516602</v>
      </c>
      <c r="H370" s="15" t="s">
        <v>529</v>
      </c>
    </row>
    <row r="371" spans="1:8" x14ac:dyDescent="0.2">
      <c r="A371" t="s">
        <v>384</v>
      </c>
      <c r="B371" s="15" t="s">
        <v>530</v>
      </c>
      <c r="C371" t="s">
        <v>550</v>
      </c>
      <c r="D371" s="1">
        <v>26.739028930664063</v>
      </c>
      <c r="H371" s="15" t="s">
        <v>530</v>
      </c>
    </row>
    <row r="372" spans="1:8" x14ac:dyDescent="0.2">
      <c r="A372" t="s">
        <v>385</v>
      </c>
      <c r="B372" s="15" t="s">
        <v>531</v>
      </c>
      <c r="C372" t="s">
        <v>550</v>
      </c>
      <c r="D372" s="1">
        <v>26.869962692260742</v>
      </c>
      <c r="H372" s="15" t="s">
        <v>531</v>
      </c>
    </row>
    <row r="373" spans="1:8" x14ac:dyDescent="0.2">
      <c r="A373" t="s">
        <v>386</v>
      </c>
      <c r="B373" s="15" t="s">
        <v>532</v>
      </c>
      <c r="C373" t="s">
        <v>550</v>
      </c>
      <c r="D373" s="1">
        <v>27.041646957397461</v>
      </c>
      <c r="H373" s="15" t="s">
        <v>532</v>
      </c>
    </row>
    <row r="374" spans="1:8" x14ac:dyDescent="0.2">
      <c r="A374" t="s">
        <v>387</v>
      </c>
      <c r="B374" s="15" t="s">
        <v>533</v>
      </c>
      <c r="C374" t="s">
        <v>550</v>
      </c>
      <c r="D374" s="1">
        <v>26.989219665527344</v>
      </c>
      <c r="H374" s="15" t="s">
        <v>533</v>
      </c>
    </row>
    <row r="375" spans="1:8" x14ac:dyDescent="0.2">
      <c r="A375" t="s">
        <v>388</v>
      </c>
      <c r="B375" s="15" t="s">
        <v>534</v>
      </c>
      <c r="C375" t="s">
        <v>550</v>
      </c>
      <c r="D375" s="1">
        <v>27.215766906738281</v>
      </c>
      <c r="H375" s="15" t="s">
        <v>534</v>
      </c>
    </row>
    <row r="376" spans="1:8" x14ac:dyDescent="0.2">
      <c r="A376" t="s">
        <v>389</v>
      </c>
      <c r="B376" s="15" t="s">
        <v>535</v>
      </c>
      <c r="C376" t="s">
        <v>550</v>
      </c>
      <c r="D376" s="1">
        <v>27.366607666015625</v>
      </c>
      <c r="H376" s="15" t="s">
        <v>535</v>
      </c>
    </row>
    <row r="377" spans="1:8" x14ac:dyDescent="0.2">
      <c r="A377" t="s">
        <v>390</v>
      </c>
      <c r="B377" s="15" t="s">
        <v>536</v>
      </c>
      <c r="C377" t="s">
        <v>550</v>
      </c>
      <c r="D377" s="1">
        <v>27.313272476196289</v>
      </c>
      <c r="H377" s="15" t="s">
        <v>536</v>
      </c>
    </row>
    <row r="378" spans="1:8" x14ac:dyDescent="0.2">
      <c r="A378" t="s">
        <v>391</v>
      </c>
      <c r="B378" s="15" t="s">
        <v>537</v>
      </c>
      <c r="C378" t="s">
        <v>550</v>
      </c>
      <c r="D378" s="1">
        <v>26.969039916992188</v>
      </c>
      <c r="H378" s="15" t="s">
        <v>537</v>
      </c>
    </row>
    <row r="379" spans="1:8" x14ac:dyDescent="0.2">
      <c r="A379" t="s">
        <v>392</v>
      </c>
      <c r="B379" s="15" t="s">
        <v>538</v>
      </c>
      <c r="C379" t="s">
        <v>550</v>
      </c>
      <c r="D379" s="1">
        <v>26.780097961425781</v>
      </c>
      <c r="H379" s="15" t="s">
        <v>538</v>
      </c>
    </row>
    <row r="380" spans="1:8" x14ac:dyDescent="0.2">
      <c r="A380" t="s">
        <v>393</v>
      </c>
      <c r="B380" s="15" t="s">
        <v>539</v>
      </c>
      <c r="C380" t="s">
        <v>550</v>
      </c>
      <c r="D380" s="1">
        <v>27.003152847290039</v>
      </c>
      <c r="H380" s="15" t="s">
        <v>539</v>
      </c>
    </row>
    <row r="381" spans="1:8" x14ac:dyDescent="0.2">
      <c r="A381" t="s">
        <v>394</v>
      </c>
      <c r="B381" s="15" t="s">
        <v>540</v>
      </c>
      <c r="C381" t="s">
        <v>550</v>
      </c>
      <c r="D381" s="1">
        <v>26.987945556640625</v>
      </c>
      <c r="H381" s="15" t="s">
        <v>540</v>
      </c>
    </row>
    <row r="382" spans="1:8" x14ac:dyDescent="0.2">
      <c r="A382" t="s">
        <v>395</v>
      </c>
      <c r="B382" s="15" t="s">
        <v>541</v>
      </c>
      <c r="C382" t="s">
        <v>550</v>
      </c>
      <c r="D382" s="1">
        <v>27.062299728393555</v>
      </c>
      <c r="H382" s="15" t="s">
        <v>541</v>
      </c>
    </row>
    <row r="383" spans="1:8" x14ac:dyDescent="0.2">
      <c r="A383" t="s">
        <v>396</v>
      </c>
      <c r="B383" s="15" t="s">
        <v>542</v>
      </c>
      <c r="C383" t="s">
        <v>550</v>
      </c>
      <c r="D383" s="1">
        <v>26.937564849853516</v>
      </c>
      <c r="H383" s="15" t="s">
        <v>542</v>
      </c>
    </row>
    <row r="384" spans="1:8" x14ac:dyDescent="0.2">
      <c r="A384" t="s">
        <v>397</v>
      </c>
      <c r="B384" s="3" t="s">
        <v>457</v>
      </c>
      <c r="C384" t="s">
        <v>550</v>
      </c>
      <c r="D384" s="1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550</v>
      </c>
      <c r="D385" s="1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550</v>
      </c>
      <c r="D386" s="1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550</v>
      </c>
      <c r="D387" s="1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550</v>
      </c>
      <c r="D388" s="1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550</v>
      </c>
      <c r="D389" s="1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550</v>
      </c>
      <c r="D390" s="1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550</v>
      </c>
      <c r="D391" s="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550</v>
      </c>
      <c r="D392" s="1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550</v>
      </c>
      <c r="D393" s="1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550</v>
      </c>
      <c r="D394" s="1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550</v>
      </c>
      <c r="D395" s="1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550</v>
      </c>
      <c r="D396" s="1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550</v>
      </c>
      <c r="D397" s="1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550</v>
      </c>
      <c r="D398" s="1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550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550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550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workbookViewId="0">
      <selection activeCell="C18" sqref="C18"/>
    </sheetView>
  </sheetViews>
  <sheetFormatPr defaultRowHeight="12.75" x14ac:dyDescent="0.2"/>
  <cols>
    <col min="1" max="1" width="13.28515625" style="8" customWidth="1"/>
    <col min="2" max="2" width="16.85546875" style="8" customWidth="1"/>
    <col min="3" max="3" width="14.85546875" style="8" customWidth="1"/>
    <col min="4" max="4" width="14.7109375" style="8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" si="0">IF(B3="Undetermined",40.1,B3)</f>
        <v>40.1</v>
      </c>
      <c r="D3" s="3" t="str">
        <f>VLOOKUP(A3,'Exported Results'!A$42:D$161,2,FALSE)</f>
        <v>Blank 1.a</v>
      </c>
      <c r="E3" s="14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6">
        <f t="shared" ref="C4:C67" si="1">IF(B4="Undetermined",40.1,B4)</f>
        <v>40.1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si="1"/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32.110305786132813</v>
      </c>
      <c r="C6" s="6">
        <f t="shared" si="1"/>
        <v>32.110305786132813</v>
      </c>
      <c r="D6" s="3" t="str">
        <f>VLOOKUP(A6,'Exported Results'!A$42:D$161,2,FALSE)</f>
        <v>STD 10a</v>
      </c>
      <c r="E6" s="14">
        <f>AVERAGE(C6:C8)</f>
        <v>32.270379384358726</v>
      </c>
      <c r="F6">
        <f>_xlfn.STDEV.P(C6:C8)</f>
        <v>0.1254752715462272</v>
      </c>
    </row>
    <row r="7" spans="1:6" ht="14.25" x14ac:dyDescent="0.2">
      <c r="A7" s="5" t="s">
        <v>59</v>
      </c>
      <c r="B7" s="6">
        <f>VLOOKUP(A7,'Exported Results'!A$42:D$161,4,FALSE)</f>
        <v>32.416736602783203</v>
      </c>
      <c r="C7" s="6">
        <f t="shared" si="1"/>
        <v>32.416736602783203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32.284095764160156</v>
      </c>
      <c r="C8" s="6">
        <f t="shared" si="1"/>
        <v>32.284095764160156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34.321380615234375</v>
      </c>
      <c r="C9" s="7"/>
      <c r="D9" s="3" t="str">
        <f>VLOOKUP(A9,'Exported Results'!A$42:D$161,2,FALSE)</f>
        <v>STD 20a</v>
      </c>
      <c r="E9" s="14">
        <f>AVERAGE(C9:C11)</f>
        <v>33.343776702880859</v>
      </c>
      <c r="F9">
        <f>_xlfn.STDEV.P(C9:C11)</f>
        <v>1.1119842529296875E-2</v>
      </c>
    </row>
    <row r="10" spans="1:6" ht="14.25" x14ac:dyDescent="0.2">
      <c r="A10" s="5" t="s">
        <v>62</v>
      </c>
      <c r="B10" s="6">
        <f>VLOOKUP(A10,'Exported Results'!A$42:D$161,4,FALSE)</f>
        <v>33.354896545410156</v>
      </c>
      <c r="C10" s="6">
        <f t="shared" si="1"/>
        <v>33.354896545410156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33.332656860351563</v>
      </c>
      <c r="C11" s="6">
        <f t="shared" si="1"/>
        <v>33.332656860351563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35.167087554931641</v>
      </c>
      <c r="C12" s="6">
        <f t="shared" si="1"/>
        <v>35.167087554931641</v>
      </c>
      <c r="D12" s="3" t="str">
        <f>VLOOKUP(A12,'Exported Results'!A$42:D$161,2,FALSE)</f>
        <v>STD 40a</v>
      </c>
      <c r="E12" s="14">
        <f>AVERAGE(C12:C14)</f>
        <v>35.071157455444336</v>
      </c>
      <c r="F12">
        <f>_xlfn.STDEV.P(C12:C14)</f>
        <v>9.5930099487304688E-2</v>
      </c>
    </row>
    <row r="13" spans="1:6" ht="14.25" x14ac:dyDescent="0.2">
      <c r="A13" s="5" t="s">
        <v>65</v>
      </c>
      <c r="B13" s="6">
        <f>VLOOKUP(A13,'Exported Results'!A$42:D$161,4,FALSE)</f>
        <v>34.975227355957031</v>
      </c>
      <c r="C13" s="6">
        <f t="shared" si="1"/>
        <v>34.975227355957031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34.643657684326172</v>
      </c>
      <c r="C14" s="7"/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36.926029205322266</v>
      </c>
      <c r="C15" s="6">
        <f t="shared" si="1"/>
        <v>36.926029205322266</v>
      </c>
      <c r="D15" s="3" t="str">
        <f>VLOOKUP(A15,'Exported Results'!A$42:D$161,2,FALSE)</f>
        <v>STD 80a</v>
      </c>
      <c r="E15" s="14">
        <f>AVERAGE(C15:C17)</f>
        <v>36.079327901204429</v>
      </c>
      <c r="F15">
        <f>_xlfn.STDEV.P(C15:C17)</f>
        <v>0.65005508647731181</v>
      </c>
    </row>
    <row r="16" spans="1:6" ht="14.25" x14ac:dyDescent="0.2">
      <c r="A16" s="5" t="s">
        <v>68</v>
      </c>
      <c r="B16" s="6">
        <f>VLOOKUP(A16,'Exported Results'!A$42:D$161,4,FALSE)</f>
        <v>35.966106414794922</v>
      </c>
      <c r="C16" s="6">
        <f t="shared" si="1"/>
        <v>35.966106414794922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35.345848083496094</v>
      </c>
      <c r="C17" s="6">
        <f t="shared" si="1"/>
        <v>35.345848083496094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36.320671081542969</v>
      </c>
      <c r="C18" s="6">
        <f t="shared" si="1"/>
        <v>36.320671081542969</v>
      </c>
      <c r="D18" s="3" t="str">
        <f>VLOOKUP(A18,'Exported Results'!A$42:D$161,2,FALSE)</f>
        <v>STD 160a</v>
      </c>
      <c r="E18" s="14">
        <f>AVERAGE(C18:C20)</f>
        <v>36.016374588012695</v>
      </c>
      <c r="F18">
        <f>_xlfn.STDEV.P(C18:C20)</f>
        <v>0.30429649353027344</v>
      </c>
    </row>
    <row r="19" spans="1:6" ht="14.25" x14ac:dyDescent="0.2">
      <c r="A19" s="5" t="s">
        <v>71</v>
      </c>
      <c r="B19" s="6">
        <f>VLOOKUP(A19,'Exported Results'!A$42:D$161,4,FALSE)</f>
        <v>38.275249481201172</v>
      </c>
      <c r="C19" s="7"/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35.712078094482422</v>
      </c>
      <c r="C20" s="6">
        <f t="shared" si="1"/>
        <v>35.712078094482422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37.868499755859375</v>
      </c>
      <c r="C21" s="6">
        <f t="shared" si="1"/>
        <v>37.868499755859375</v>
      </c>
      <c r="D21" s="3" t="str">
        <f>VLOOKUP(A21,'Exported Results'!A$42:D$161,2,FALSE)</f>
        <v>STD 320a</v>
      </c>
      <c r="E21" s="14">
        <f>AVERAGE(C21:C23)</f>
        <v>37.220500946044922</v>
      </c>
      <c r="F21">
        <f>_xlfn.STDEV.P(C21:C23)</f>
        <v>0.64799880981445313</v>
      </c>
    </row>
    <row r="22" spans="1:6" ht="14.25" x14ac:dyDescent="0.2">
      <c r="A22" s="5" t="s">
        <v>74</v>
      </c>
      <c r="B22" s="6">
        <f>VLOOKUP(A22,'Exported Results'!A$42:D$161,4,FALSE)</f>
        <v>36.572502136230469</v>
      </c>
      <c r="C22" s="6">
        <f t="shared" si="1"/>
        <v>36.572502136230469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 t="str">
        <f>VLOOKUP(A23,'Exported Results'!A$42:D$161,4,FALSE)</f>
        <v>Undetermined</v>
      </c>
      <c r="C23" s="7"/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34.839084625244141</v>
      </c>
      <c r="C24" s="6">
        <f t="shared" si="1"/>
        <v>34.839084625244141</v>
      </c>
      <c r="D24" s="3" t="str">
        <f>VLOOKUP(A24,'Exported Results'!A$42:D$161,2,FALSE)</f>
        <v>C1.a</v>
      </c>
      <c r="E24" s="14">
        <f>AVERAGE(C24:C26)</f>
        <v>35.532424926757813</v>
      </c>
      <c r="F24">
        <f>_xlfn.STDEV.P(C24:C26)</f>
        <v>0.56129445108870135</v>
      </c>
    </row>
    <row r="25" spans="1:6" ht="14.25" x14ac:dyDescent="0.2">
      <c r="A25" s="5" t="s">
        <v>77</v>
      </c>
      <c r="B25" s="6">
        <f>VLOOKUP(A25,'Exported Results'!A$42:D$161,4,FALSE)</f>
        <v>35.544376373291016</v>
      </c>
      <c r="C25" s="6">
        <f t="shared" si="1"/>
        <v>35.544376373291016</v>
      </c>
      <c r="D25" s="3" t="str">
        <f>VLOOKUP(A25,'Exported Results'!A$42:D$161,2,FALSE)</f>
        <v>C1.b</v>
      </c>
    </row>
    <row r="26" spans="1:6" ht="14.25" x14ac:dyDescent="0.2">
      <c r="A26" s="5" t="s">
        <v>78</v>
      </c>
      <c r="B26" s="6">
        <f>VLOOKUP(A26,'Exported Results'!A$42:D$161,4,FALSE)</f>
        <v>36.213813781738281</v>
      </c>
      <c r="C26" s="6">
        <f t="shared" si="1"/>
        <v>36.213813781738281</v>
      </c>
      <c r="D26" s="3" t="str">
        <f>VLOOKUP(A26,'Exported Results'!A$42:D$161,2,FALSE)</f>
        <v>C1.c</v>
      </c>
    </row>
    <row r="27" spans="1:6" ht="14.25" x14ac:dyDescent="0.2">
      <c r="A27" s="5" t="s">
        <v>79</v>
      </c>
      <c r="B27" s="6">
        <f>VLOOKUP(A27,'Exported Results'!A$42:D$161,4,FALSE)</f>
        <v>37.894287109375</v>
      </c>
      <c r="C27" s="7"/>
      <c r="D27" s="3" t="str">
        <f>VLOOKUP(A27,'Exported Results'!A$42:D$161,2,FALSE)</f>
        <v>C2.a</v>
      </c>
      <c r="E27" s="14">
        <f>AVERAGE(C27:C29)</f>
        <v>34.937532424926758</v>
      </c>
      <c r="F27">
        <f>_xlfn.STDEV.P(C27:C29)</f>
        <v>0.31530952453613281</v>
      </c>
    </row>
    <row r="28" spans="1:6" ht="14.25" x14ac:dyDescent="0.2">
      <c r="A28" s="5" t="s">
        <v>80</v>
      </c>
      <c r="B28" s="6">
        <f>VLOOKUP(A28,'Exported Results'!A$42:D$161,4,FALSE)</f>
        <v>35.252841949462891</v>
      </c>
      <c r="C28" s="6">
        <f t="shared" si="1"/>
        <v>35.252841949462891</v>
      </c>
      <c r="D28" s="3" t="str">
        <f>VLOOKUP(A28,'Exported Results'!A$42:D$161,2,FALSE)</f>
        <v>C2.b</v>
      </c>
    </row>
    <row r="29" spans="1:6" ht="14.25" x14ac:dyDescent="0.2">
      <c r="A29" s="5" t="s">
        <v>81</v>
      </c>
      <c r="B29" s="6">
        <f>VLOOKUP(A29,'Exported Results'!A$42:D$161,4,FALSE)</f>
        <v>34.622222900390625</v>
      </c>
      <c r="C29" s="6">
        <f t="shared" si="1"/>
        <v>34.622222900390625</v>
      </c>
      <c r="D29" s="3" t="str">
        <f>VLOOKUP(A29,'Exported Results'!A$42:D$161,2,FALSE)</f>
        <v>C2.c</v>
      </c>
    </row>
    <row r="30" spans="1:6" ht="14.25" x14ac:dyDescent="0.2">
      <c r="A30" s="5" t="s">
        <v>82</v>
      </c>
      <c r="B30" s="6">
        <f>VLOOKUP(A30,'Exported Results'!A$42:D$161,4,FALSE)</f>
        <v>34.066959381103516</v>
      </c>
      <c r="C30" s="7"/>
      <c r="D30" s="3" t="str">
        <f>VLOOKUP(A30,'Exported Results'!A$42:D$161,2,FALSE)</f>
        <v>C3.a</v>
      </c>
      <c r="E30" s="14">
        <f>AVERAGE(C30:C32)</f>
        <v>35.105300903320313</v>
      </c>
      <c r="F30">
        <f>_xlfn.STDEV.P(C30:C32)</f>
        <v>0.2410430908203125</v>
      </c>
    </row>
    <row r="31" spans="1:6" ht="14.25" x14ac:dyDescent="0.2">
      <c r="A31" s="5" t="s">
        <v>83</v>
      </c>
      <c r="B31" s="6">
        <f>VLOOKUP(A31,'Exported Results'!A$42:D$161,4,FALSE)</f>
        <v>35.346343994140625</v>
      </c>
      <c r="C31" s="6">
        <f t="shared" si="1"/>
        <v>35.346343994140625</v>
      </c>
      <c r="D31" s="3" t="str">
        <f>VLOOKUP(A31,'Exported Results'!A$42:D$161,2,FALSE)</f>
        <v>C3.b</v>
      </c>
    </row>
    <row r="32" spans="1:6" ht="14.25" x14ac:dyDescent="0.2">
      <c r="A32" s="5" t="s">
        <v>84</v>
      </c>
      <c r="B32" s="6">
        <f>VLOOKUP(A32,'Exported Results'!A$42:D$161,4,FALSE)</f>
        <v>34.8642578125</v>
      </c>
      <c r="C32" s="6">
        <f t="shared" si="1"/>
        <v>34.8642578125</v>
      </c>
      <c r="D32" s="3" t="str">
        <f>VLOOKUP(A32,'Exported Results'!A$42:D$161,2,FALSE)</f>
        <v>C3.c</v>
      </c>
    </row>
    <row r="33" spans="1:6" ht="14.25" x14ac:dyDescent="0.2">
      <c r="A33" s="5" t="s">
        <v>85</v>
      </c>
      <c r="B33" s="6">
        <f>VLOOKUP(A33,'Exported Results'!A$42:D$161,4,FALSE)</f>
        <v>34.565525054931641</v>
      </c>
      <c r="C33" s="6">
        <f t="shared" si="1"/>
        <v>34.565525054931641</v>
      </c>
      <c r="D33" s="3" t="str">
        <f>VLOOKUP(A33,'Exported Results'!A$42:D$161,2,FALSE)</f>
        <v>C4.a</v>
      </c>
      <c r="E33" s="14">
        <f>AVERAGE(C33:C35)</f>
        <v>34.758829116821289</v>
      </c>
      <c r="F33">
        <f>_xlfn.STDEV.P(C33:C35)</f>
        <v>0.19330406188964844</v>
      </c>
    </row>
    <row r="34" spans="1:6" ht="14.25" x14ac:dyDescent="0.2">
      <c r="A34" s="5" t="s">
        <v>86</v>
      </c>
      <c r="B34" s="6">
        <f>VLOOKUP(A34,'Exported Results'!A$42:D$161,4,FALSE)</f>
        <v>35.762130737304688</v>
      </c>
      <c r="C34" s="7"/>
      <c r="D34" s="3" t="str">
        <f>VLOOKUP(A34,'Exported Results'!A$42:D$161,2,FALSE)</f>
        <v>C4.b</v>
      </c>
    </row>
    <row r="35" spans="1:6" ht="14.25" x14ac:dyDescent="0.2">
      <c r="A35" s="5" t="s">
        <v>87</v>
      </c>
      <c r="B35" s="6">
        <f>VLOOKUP(A35,'Exported Results'!A$42:D$161,4,FALSE)</f>
        <v>34.952133178710938</v>
      </c>
      <c r="C35" s="6">
        <f t="shared" si="1"/>
        <v>34.952133178710938</v>
      </c>
      <c r="D35" s="3" t="str">
        <f>VLOOKUP(A35,'Exported Results'!A$42:D$161,2,FALSE)</f>
        <v>C4.c</v>
      </c>
    </row>
    <row r="36" spans="1:6" ht="14.25" x14ac:dyDescent="0.2">
      <c r="A36" s="5" t="s">
        <v>88</v>
      </c>
      <c r="B36" s="6">
        <f>VLOOKUP(A36,'Exported Results'!A$42:D$161,4,FALSE)</f>
        <v>35.161430358886719</v>
      </c>
      <c r="C36" s="6">
        <f t="shared" si="1"/>
        <v>35.161430358886719</v>
      </c>
      <c r="D36" s="3" t="str">
        <f>VLOOKUP(A36,'Exported Results'!A$42:D$161,2,FALSE)</f>
        <v>C5.a</v>
      </c>
      <c r="E36" s="14">
        <f>AVERAGE(C36:C38)</f>
        <v>34.734580993652344</v>
      </c>
      <c r="F36">
        <f>_xlfn.STDEV.P(C36:C38)</f>
        <v>0.30491776547107435</v>
      </c>
    </row>
    <row r="37" spans="1:6" ht="14.25" x14ac:dyDescent="0.2">
      <c r="A37" s="5" t="s">
        <v>89</v>
      </c>
      <c r="B37" s="6">
        <f>VLOOKUP(A37,'Exported Results'!A$42:D$161,4,FALSE)</f>
        <v>34.468128204345703</v>
      </c>
      <c r="C37" s="6">
        <f t="shared" si="1"/>
        <v>34.468128204345703</v>
      </c>
      <c r="D37" s="3" t="str">
        <f>VLOOKUP(A37,'Exported Results'!A$42:D$161,2,FALSE)</f>
        <v>C5.b</v>
      </c>
    </row>
    <row r="38" spans="1:6" ht="14.25" x14ac:dyDescent="0.2">
      <c r="A38" s="5" t="s">
        <v>90</v>
      </c>
      <c r="B38" s="6">
        <f>VLOOKUP(A38,'Exported Results'!A$42:D$161,4,FALSE)</f>
        <v>34.574184417724609</v>
      </c>
      <c r="C38" s="6">
        <f t="shared" si="1"/>
        <v>34.574184417724609</v>
      </c>
      <c r="D38" s="3" t="str">
        <f>VLOOKUP(A38,'Exported Results'!A$42:D$161,2,FALSE)</f>
        <v>C5.c</v>
      </c>
    </row>
    <row r="39" spans="1:6" ht="14.25" x14ac:dyDescent="0.2">
      <c r="A39" s="5" t="s">
        <v>91</v>
      </c>
      <c r="B39" s="6">
        <f>VLOOKUP(A39,'Exported Results'!A$42:D$161,4,FALSE)</f>
        <v>35.205596923828125</v>
      </c>
      <c r="C39" s="6">
        <f t="shared" si="1"/>
        <v>35.205596923828125</v>
      </c>
      <c r="D39" s="3" t="str">
        <f>VLOOKUP(A39,'Exported Results'!A$42:D$161,2,FALSE)</f>
        <v>C6.a</v>
      </c>
      <c r="E39" s="14">
        <f>AVERAGE(C39:C41)</f>
        <v>34.897055308024086</v>
      </c>
      <c r="F39">
        <f>_xlfn.STDEV.P(C39:C41)</f>
        <v>0.27967394496506154</v>
      </c>
    </row>
    <row r="40" spans="1:6" ht="14.25" x14ac:dyDescent="0.2">
      <c r="A40" s="5" t="s">
        <v>92</v>
      </c>
      <c r="B40" s="6">
        <f>VLOOKUP(A40,'Exported Results'!A$42:D$161,4,FALSE)</f>
        <v>34.528476715087891</v>
      </c>
      <c r="C40" s="6">
        <f t="shared" si="1"/>
        <v>34.528476715087891</v>
      </c>
      <c r="D40" s="3" t="str">
        <f>VLOOKUP(A40,'Exported Results'!A$42:D$161,2,FALSE)</f>
        <v>C6.b</v>
      </c>
    </row>
    <row r="41" spans="1:6" ht="14.25" x14ac:dyDescent="0.2">
      <c r="A41" s="5" t="s">
        <v>93</v>
      </c>
      <c r="B41" s="6">
        <f>VLOOKUP(A41,'Exported Results'!A$42:D$161,4,FALSE)</f>
        <v>34.95709228515625</v>
      </c>
      <c r="C41" s="6">
        <f t="shared" si="1"/>
        <v>34.95709228515625</v>
      </c>
      <c r="D41" s="3" t="str">
        <f>VLOOKUP(A41,'Exported Results'!A$42:D$161,2,FALSE)</f>
        <v>C6.c</v>
      </c>
    </row>
    <row r="42" spans="1:6" ht="14.25" x14ac:dyDescent="0.2">
      <c r="A42" s="5" t="s">
        <v>94</v>
      </c>
      <c r="B42" s="6">
        <f>VLOOKUP(A42,'Exported Results'!A$42:D$161,4,FALSE)</f>
        <v>35.468776702880859</v>
      </c>
      <c r="C42" s="7"/>
      <c r="D42" s="3" t="str">
        <f>VLOOKUP(A42,'Exported Results'!A$42:D$161,2,FALSE)</f>
        <v>C7.a</v>
      </c>
      <c r="E42" s="14">
        <f>AVERAGE(C42:C44)</f>
        <v>33.999233245849609</v>
      </c>
      <c r="F42">
        <f>_xlfn.STDEV.P(C42:C44)</f>
        <v>9.2967987060546875E-2</v>
      </c>
    </row>
    <row r="43" spans="1:6" ht="14.25" x14ac:dyDescent="0.2">
      <c r="A43" s="5" t="s">
        <v>95</v>
      </c>
      <c r="B43" s="6">
        <f>VLOOKUP(A43,'Exported Results'!A$42:D$161,4,FALSE)</f>
        <v>33.906265258789063</v>
      </c>
      <c r="C43" s="6">
        <f t="shared" si="1"/>
        <v>33.906265258789063</v>
      </c>
      <c r="D43" s="3" t="str">
        <f>VLOOKUP(A43,'Exported Results'!A$42:D$161,2,FALSE)</f>
        <v>C7.b</v>
      </c>
    </row>
    <row r="44" spans="1:6" ht="14.25" x14ac:dyDescent="0.2">
      <c r="A44" s="5" t="s">
        <v>96</v>
      </c>
      <c r="B44" s="6">
        <f>VLOOKUP(A44,'Exported Results'!A$42:D$161,4,FALSE)</f>
        <v>34.092201232910156</v>
      </c>
      <c r="C44" s="6">
        <f t="shared" si="1"/>
        <v>34.092201232910156</v>
      </c>
      <c r="D44" s="3" t="str">
        <f>VLOOKUP(A44,'Exported Results'!A$42:D$161,2,FALSE)</f>
        <v>C7.c</v>
      </c>
    </row>
    <row r="45" spans="1:6" ht="14.25" x14ac:dyDescent="0.2">
      <c r="A45" s="5" t="s">
        <v>97</v>
      </c>
      <c r="B45" s="6">
        <f>VLOOKUP(A45,'Exported Results'!A$42:D$161,4,FALSE)</f>
        <v>34.416831970214844</v>
      </c>
      <c r="C45" s="6">
        <f t="shared" si="1"/>
        <v>34.416831970214844</v>
      </c>
      <c r="D45" s="3" t="str">
        <f>VLOOKUP(A45,'Exported Results'!A$42:D$161,2,FALSE)</f>
        <v>C8.a</v>
      </c>
      <c r="E45" s="14">
        <f>AVERAGE(C45:C47)</f>
        <v>34.287827809651695</v>
      </c>
      <c r="F45">
        <f>_xlfn.STDEV.P(C45:C47)</f>
        <v>0.77317811725080732</v>
      </c>
    </row>
    <row r="46" spans="1:6" ht="14.25" x14ac:dyDescent="0.2">
      <c r="A46" s="5" t="s">
        <v>98</v>
      </c>
      <c r="B46" s="6">
        <f>VLOOKUP(A46,'Exported Results'!A$42:D$161,4,FALSE)</f>
        <v>35.163658142089844</v>
      </c>
      <c r="C46" s="6">
        <f t="shared" si="1"/>
        <v>35.163658142089844</v>
      </c>
      <c r="D46" s="3" t="str">
        <f>VLOOKUP(A46,'Exported Results'!A$42:D$161,2,FALSE)</f>
        <v>C8.b</v>
      </c>
    </row>
    <row r="47" spans="1:6" ht="14.25" x14ac:dyDescent="0.2">
      <c r="A47" s="5" t="s">
        <v>99</v>
      </c>
      <c r="B47" s="6">
        <f>VLOOKUP(A47,'Exported Results'!A$42:D$161,4,FALSE)</f>
        <v>33.282993316650391</v>
      </c>
      <c r="C47" s="6">
        <f t="shared" si="1"/>
        <v>33.282993316650391</v>
      </c>
      <c r="D47" s="3" t="str">
        <f>VLOOKUP(A47,'Exported Results'!A$42:D$161,2,FALSE)</f>
        <v>C8.c</v>
      </c>
    </row>
    <row r="48" spans="1:6" ht="14.25" x14ac:dyDescent="0.2">
      <c r="A48" s="5" t="s">
        <v>100</v>
      </c>
      <c r="B48" s="6">
        <f>VLOOKUP(A48,'Exported Results'!A$42:D$161,4,FALSE)</f>
        <v>33.585174560546875</v>
      </c>
      <c r="C48" s="7"/>
      <c r="D48" s="3" t="str">
        <f>VLOOKUP(A48,'Exported Results'!A$42:D$161,2,FALSE)</f>
        <v>C9.a</v>
      </c>
      <c r="E48" s="14">
        <f>AVERAGE(C48:C50)</f>
        <v>34.24798583984375</v>
      </c>
      <c r="F48">
        <f>_xlfn.STDEV.P(C48:C50)</f>
        <v>8.9954376220703125E-2</v>
      </c>
    </row>
    <row r="49" spans="1:6" ht="14.25" x14ac:dyDescent="0.2">
      <c r="A49" s="5" t="s">
        <v>101</v>
      </c>
      <c r="B49" s="6">
        <f>VLOOKUP(A49,'Exported Results'!A$42:D$161,4,FALSE)</f>
        <v>34.337940216064453</v>
      </c>
      <c r="C49" s="6">
        <f t="shared" si="1"/>
        <v>34.337940216064453</v>
      </c>
      <c r="D49" s="3" t="str">
        <f>VLOOKUP(A49,'Exported Results'!A$42:D$161,2,FALSE)</f>
        <v>C9.b</v>
      </c>
    </row>
    <row r="50" spans="1:6" ht="14.25" x14ac:dyDescent="0.2">
      <c r="A50" s="5" t="s">
        <v>102</v>
      </c>
      <c r="B50" s="6">
        <f>VLOOKUP(A50,'Exported Results'!A$42:D$161,4,FALSE)</f>
        <v>34.158031463623047</v>
      </c>
      <c r="C50" s="6">
        <f t="shared" si="1"/>
        <v>34.158031463623047</v>
      </c>
      <c r="D50" s="3" t="str">
        <f>VLOOKUP(A50,'Exported Results'!A$42:D$161,2,FALSE)</f>
        <v>C9.c</v>
      </c>
    </row>
    <row r="51" spans="1:6" ht="14.25" x14ac:dyDescent="0.2">
      <c r="A51" s="5" t="s">
        <v>103</v>
      </c>
      <c r="B51" s="6">
        <f>VLOOKUP(A51,'Exported Results'!A$42:D$161,4,FALSE)</f>
        <v>35.412860870361328</v>
      </c>
      <c r="C51" s="6">
        <f t="shared" si="1"/>
        <v>35.412860870361328</v>
      </c>
      <c r="D51" s="3" t="str">
        <f>VLOOKUP(A51,'Exported Results'!A$42:D$161,2,FALSE)</f>
        <v>O1.a</v>
      </c>
      <c r="E51" s="14">
        <f>AVERAGE(C51:C53)</f>
        <v>34.976985931396484</v>
      </c>
      <c r="F51">
        <f>_xlfn.STDEV.P(C51:C53)</f>
        <v>0.34854649087896927</v>
      </c>
    </row>
    <row r="52" spans="1:6" ht="14.25" x14ac:dyDescent="0.2">
      <c r="A52" s="5" t="s">
        <v>104</v>
      </c>
      <c r="B52" s="6">
        <f>VLOOKUP(A52,'Exported Results'!A$42:D$161,4,FALSE)</f>
        <v>34.559707641601563</v>
      </c>
      <c r="C52" s="6">
        <f t="shared" si="1"/>
        <v>34.559707641601563</v>
      </c>
      <c r="D52" s="3" t="str">
        <f>VLOOKUP(A52,'Exported Results'!A$42:D$161,2,FALSE)</f>
        <v>O1.b</v>
      </c>
    </row>
    <row r="53" spans="1:6" ht="14.25" x14ac:dyDescent="0.2">
      <c r="A53" s="5" t="s">
        <v>105</v>
      </c>
      <c r="B53" s="6">
        <f>VLOOKUP(A53,'Exported Results'!A$42:D$161,4,FALSE)</f>
        <v>34.958389282226563</v>
      </c>
      <c r="C53" s="6">
        <f t="shared" si="1"/>
        <v>34.958389282226563</v>
      </c>
      <c r="D53" s="3" t="str">
        <f>VLOOKUP(A53,'Exported Results'!A$42:D$161,2,FALSE)</f>
        <v>O1.c</v>
      </c>
    </row>
    <row r="54" spans="1:6" ht="14.25" x14ac:dyDescent="0.2">
      <c r="A54" s="5" t="s">
        <v>106</v>
      </c>
      <c r="B54" s="6">
        <f>VLOOKUP(A54,'Exported Results'!A$42:D$161,4,FALSE)</f>
        <v>34.759044647216797</v>
      </c>
      <c r="C54" s="6">
        <f t="shared" si="1"/>
        <v>34.759044647216797</v>
      </c>
      <c r="D54" s="3" t="str">
        <f>VLOOKUP(A54,'Exported Results'!A$42:D$161,2,FALSE)</f>
        <v>O2.a</v>
      </c>
      <c r="E54" s="14">
        <f>AVERAGE(C54:C56)</f>
        <v>34.805932998657227</v>
      </c>
      <c r="F54">
        <f>_xlfn.STDEV.P(C54:C56)</f>
        <v>4.6888351440429688E-2</v>
      </c>
    </row>
    <row r="55" spans="1:6" ht="14.25" x14ac:dyDescent="0.2">
      <c r="A55" s="5" t="s">
        <v>107</v>
      </c>
      <c r="B55" s="6">
        <f>VLOOKUP(A55,'Exported Results'!A$42:D$161,4,FALSE)</f>
        <v>35.941852569580078</v>
      </c>
      <c r="C55" s="7"/>
      <c r="D55" s="3" t="str">
        <f>VLOOKUP(A55,'Exported Results'!A$42:D$161,2,FALSE)</f>
        <v>O2.b</v>
      </c>
    </row>
    <row r="56" spans="1:6" ht="14.25" x14ac:dyDescent="0.2">
      <c r="A56" s="5" t="s">
        <v>108</v>
      </c>
      <c r="B56" s="6">
        <f>VLOOKUP(A56,'Exported Results'!A$42:D$161,4,FALSE)</f>
        <v>34.852821350097656</v>
      </c>
      <c r="C56" s="6">
        <f t="shared" si="1"/>
        <v>34.852821350097656</v>
      </c>
      <c r="D56" s="3" t="str">
        <f>VLOOKUP(A56,'Exported Results'!A$42:D$161,2,FALSE)</f>
        <v>O2.c</v>
      </c>
    </row>
    <row r="57" spans="1:6" ht="14.25" x14ac:dyDescent="0.2">
      <c r="A57" s="5" t="s">
        <v>109</v>
      </c>
      <c r="B57" s="6">
        <f>VLOOKUP(A57,'Exported Results'!A$42:D$161,4,FALSE)</f>
        <v>36.184619903564453</v>
      </c>
      <c r="C57" s="6">
        <f t="shared" si="1"/>
        <v>36.184619903564453</v>
      </c>
      <c r="D57" s="3" t="str">
        <f>VLOOKUP(A57,'Exported Results'!A$42:D$161,2,FALSE)</f>
        <v>O3.a</v>
      </c>
      <c r="E57" s="14">
        <f>AVERAGE(C57:C59)</f>
        <v>35.699053446451821</v>
      </c>
      <c r="F57">
        <f>_xlfn.STDEV.P(C57:C59)</f>
        <v>0.34663973551124289</v>
      </c>
    </row>
    <row r="58" spans="1:6" ht="14.25" x14ac:dyDescent="0.2">
      <c r="A58" s="5" t="s">
        <v>110</v>
      </c>
      <c r="B58" s="6">
        <f>VLOOKUP(A58,'Exported Results'!A$42:D$161,4,FALSE)</f>
        <v>35.514644622802734</v>
      </c>
      <c r="C58" s="6">
        <f t="shared" si="1"/>
        <v>35.514644622802734</v>
      </c>
      <c r="D58" s="3" t="str">
        <f>VLOOKUP(A58,'Exported Results'!A$42:D$161,2,FALSE)</f>
        <v>O3.b</v>
      </c>
    </row>
    <row r="59" spans="1:6" ht="14.25" x14ac:dyDescent="0.2">
      <c r="A59" s="5" t="s">
        <v>111</v>
      </c>
      <c r="B59" s="6">
        <f>VLOOKUP(A59,'Exported Results'!A$42:D$161,4,FALSE)</f>
        <v>35.397895812988281</v>
      </c>
      <c r="C59" s="6">
        <f t="shared" si="1"/>
        <v>35.397895812988281</v>
      </c>
      <c r="D59" s="3" t="str">
        <f>VLOOKUP(A59,'Exported Results'!A$42:D$161,2,FALSE)</f>
        <v>O3.c</v>
      </c>
    </row>
    <row r="60" spans="1:6" ht="14.25" x14ac:dyDescent="0.2">
      <c r="A60" s="5" t="s">
        <v>112</v>
      </c>
      <c r="B60" s="6">
        <f>VLOOKUP(A60,'Exported Results'!A$42:D$161,4,FALSE)</f>
        <v>34.941349029541016</v>
      </c>
      <c r="C60" s="6">
        <f t="shared" si="1"/>
        <v>34.941349029541016</v>
      </c>
      <c r="D60" s="3" t="str">
        <f>VLOOKUP(A60,'Exported Results'!A$42:D$161,2,FALSE)</f>
        <v>O4.a</v>
      </c>
      <c r="E60" s="14">
        <f>AVERAGE(C60:C62)</f>
        <v>34.94886906941732</v>
      </c>
      <c r="F60">
        <f>_xlfn.STDEV.P(C60:C62)</f>
        <v>5.4155126431833067E-2</v>
      </c>
    </row>
    <row r="61" spans="1:6" ht="14.25" x14ac:dyDescent="0.2">
      <c r="A61" s="5" t="s">
        <v>113</v>
      </c>
      <c r="B61" s="6">
        <f>VLOOKUP(A61,'Exported Results'!A$42:D$161,4,FALSE)</f>
        <v>35.018634796142578</v>
      </c>
      <c r="C61" s="6">
        <f t="shared" si="1"/>
        <v>35.018634796142578</v>
      </c>
      <c r="D61" s="3" t="str">
        <f>VLOOKUP(A61,'Exported Results'!A$42:D$161,2,FALSE)</f>
        <v>O4.b</v>
      </c>
    </row>
    <row r="62" spans="1:6" ht="14.25" x14ac:dyDescent="0.2">
      <c r="A62" s="5" t="s">
        <v>114</v>
      </c>
      <c r="B62" s="6">
        <f>VLOOKUP(A62,'Exported Results'!A$42:D$161,4,FALSE)</f>
        <v>34.886623382568359</v>
      </c>
      <c r="C62" s="6">
        <f t="shared" si="1"/>
        <v>34.886623382568359</v>
      </c>
      <c r="D62" s="3" t="str">
        <f>VLOOKUP(A62,'Exported Results'!A$42:D$161,2,FALSE)</f>
        <v>O4.c</v>
      </c>
    </row>
    <row r="63" spans="1:6" ht="14.25" x14ac:dyDescent="0.2">
      <c r="A63" s="5" t="s">
        <v>115</v>
      </c>
      <c r="B63" s="6">
        <f>VLOOKUP(A63,'Exported Results'!A$42:D$161,4,FALSE)</f>
        <v>35.066970825195313</v>
      </c>
      <c r="C63" s="6">
        <f t="shared" si="1"/>
        <v>35.066970825195313</v>
      </c>
      <c r="D63" s="3" t="str">
        <f>VLOOKUP(A63,'Exported Results'!A$42:D$161,2,FALSE)</f>
        <v>O5.a</v>
      </c>
      <c r="E63" s="14">
        <f>AVERAGE(C63:C65)</f>
        <v>35.517793019612633</v>
      </c>
      <c r="F63">
        <f>_xlfn.STDEV.P(C63:C65)</f>
        <v>0.36742901843812081</v>
      </c>
    </row>
    <row r="64" spans="1:6" ht="14.25" x14ac:dyDescent="0.2">
      <c r="A64" s="5" t="s">
        <v>116</v>
      </c>
      <c r="B64" s="6">
        <f>VLOOKUP(A64,'Exported Results'!A$42:D$161,4,FALSE)</f>
        <v>35.519428253173828</v>
      </c>
      <c r="C64" s="6">
        <f t="shared" si="1"/>
        <v>35.519428253173828</v>
      </c>
      <c r="D64" s="3" t="str">
        <f>VLOOKUP(A64,'Exported Results'!A$42:D$161,2,FALSE)</f>
        <v>O5.b</v>
      </c>
    </row>
    <row r="65" spans="1:6" ht="14.25" x14ac:dyDescent="0.2">
      <c r="A65" s="5" t="s">
        <v>117</v>
      </c>
      <c r="B65" s="6">
        <f>VLOOKUP(A65,'Exported Results'!A$42:D$161,4,FALSE)</f>
        <v>35.96697998046875</v>
      </c>
      <c r="C65" s="6">
        <f t="shared" si="1"/>
        <v>35.96697998046875</v>
      </c>
      <c r="D65" s="3" t="str">
        <f>VLOOKUP(A65,'Exported Results'!A$42:D$161,2,FALSE)</f>
        <v>O5.c</v>
      </c>
    </row>
    <row r="66" spans="1:6" ht="14.25" x14ac:dyDescent="0.2">
      <c r="A66" s="5" t="s">
        <v>118</v>
      </c>
      <c r="B66" s="6">
        <f>VLOOKUP(A66,'Exported Results'!A$42:D$161,4,FALSE)</f>
        <v>35.127632141113281</v>
      </c>
      <c r="C66" s="6">
        <f t="shared" si="1"/>
        <v>35.127632141113281</v>
      </c>
      <c r="D66" s="3" t="str">
        <f>VLOOKUP(A66,'Exported Results'!A$42:D$161,2,FALSE)</f>
        <v>O6.a</v>
      </c>
      <c r="E66" s="14">
        <f>AVERAGE(C66:C68)</f>
        <v>35.54215876261393</v>
      </c>
      <c r="F66">
        <f>_xlfn.STDEV.P(C66:C68)</f>
        <v>0.36314545862383346</v>
      </c>
    </row>
    <row r="67" spans="1:6" ht="14.25" x14ac:dyDescent="0.2">
      <c r="A67" s="5" t="s">
        <v>119</v>
      </c>
      <c r="B67" s="6">
        <f>VLOOKUP(A67,'Exported Results'!A$42:D$161,4,FALSE)</f>
        <v>35.486862182617188</v>
      </c>
      <c r="C67" s="6">
        <f t="shared" si="1"/>
        <v>35.486862182617188</v>
      </c>
      <c r="D67" s="3" t="str">
        <f>VLOOKUP(A67,'Exported Results'!A$42:D$161,2,FALSE)</f>
        <v>O6.b</v>
      </c>
    </row>
    <row r="68" spans="1:6" ht="14.25" x14ac:dyDescent="0.2">
      <c r="A68" s="5" t="s">
        <v>120</v>
      </c>
      <c r="B68" s="6">
        <f>VLOOKUP(A68,'Exported Results'!A$42:D$161,4,FALSE)</f>
        <v>36.011981964111328</v>
      </c>
      <c r="C68" s="6">
        <f t="shared" ref="C68:C71" si="2">IF(B68="Undetermined",40.1,B68)</f>
        <v>36.011981964111328</v>
      </c>
      <c r="D68" s="3" t="str">
        <f>VLOOKUP(A68,'Exported Results'!A$42:D$161,2,FALSE)</f>
        <v>O6.c</v>
      </c>
    </row>
    <row r="69" spans="1:6" ht="14.25" x14ac:dyDescent="0.2">
      <c r="A69" s="5" t="s">
        <v>121</v>
      </c>
      <c r="B69" s="6">
        <f>VLOOKUP(A69,'Exported Results'!A$42:D$161,4,FALSE)</f>
        <v>35.682384490966797</v>
      </c>
      <c r="C69" s="6">
        <f t="shared" si="2"/>
        <v>35.682384490966797</v>
      </c>
      <c r="D69" s="3" t="str">
        <f>VLOOKUP(A69,'Exported Results'!A$42:D$161,2,FALSE)</f>
        <v>O7.a</v>
      </c>
      <c r="E69" s="14">
        <f>AVERAGE(C69:C71)</f>
        <v>35.389189402262367</v>
      </c>
      <c r="F69">
        <f>_xlfn.STDEV.P(C69:C71)</f>
        <v>0.32066705541718871</v>
      </c>
    </row>
    <row r="70" spans="1:6" ht="14.25" x14ac:dyDescent="0.2">
      <c r="A70" s="5" t="s">
        <v>122</v>
      </c>
      <c r="B70" s="6">
        <f>VLOOKUP(A70,'Exported Results'!A$42:D$161,4,FALSE)</f>
        <v>34.942977905273438</v>
      </c>
      <c r="C70" s="6">
        <f t="shared" si="2"/>
        <v>34.942977905273438</v>
      </c>
      <c r="D70" s="3" t="str">
        <f>VLOOKUP(A70,'Exported Results'!A$42:D$161,2,FALSE)</f>
        <v>O7.b</v>
      </c>
    </row>
    <row r="71" spans="1:6" ht="14.25" x14ac:dyDescent="0.2">
      <c r="A71" s="5" t="s">
        <v>123</v>
      </c>
      <c r="B71" s="6">
        <f>VLOOKUP(A71,'Exported Results'!A$42:D$161,4,FALSE)</f>
        <v>35.542205810546875</v>
      </c>
      <c r="C71" s="6">
        <f t="shared" si="2"/>
        <v>35.542205810546875</v>
      </c>
      <c r="D71" s="3" t="str">
        <f>VLOOKUP(A71,'Exported Results'!A$42:D$161,2,FALSE)</f>
        <v>O7.c</v>
      </c>
    </row>
    <row r="72" spans="1:6" ht="14.25" x14ac:dyDescent="0.2">
      <c r="A72" s="5" t="s">
        <v>124</v>
      </c>
      <c r="B72" s="6">
        <f>VLOOKUP(A72,'Exported Results'!A$42:D$161,4,FALSE)</f>
        <v>34.576801300048828</v>
      </c>
      <c r="C72" s="6">
        <f t="shared" ref="C68:C131" si="3">IF(B72="Undetermined",40.1,B72)</f>
        <v>34.576801300048828</v>
      </c>
      <c r="D72" s="3" t="str">
        <f>VLOOKUP(A72,'Exported Results'!A$42:D$161,2,FALSE)</f>
        <v>O8.a</v>
      </c>
      <c r="E72" s="14">
        <f>AVERAGE(C72:C74)</f>
        <v>34.913682301839195</v>
      </c>
      <c r="F72">
        <f>_xlfn.STDEV.P(C72:C74)</f>
        <v>0.2407515998862812</v>
      </c>
    </row>
    <row r="73" spans="1:6" ht="14.25" x14ac:dyDescent="0.2">
      <c r="A73" s="5" t="s">
        <v>125</v>
      </c>
      <c r="B73" s="6">
        <f>VLOOKUP(A73,'Exported Results'!A$42:D$161,4,FALSE)</f>
        <v>35.124847412109375</v>
      </c>
      <c r="C73" s="6">
        <f t="shared" si="3"/>
        <v>35.124847412109375</v>
      </c>
      <c r="D73" s="3" t="str">
        <f>VLOOKUP(A73,'Exported Results'!A$42:D$161,2,FALSE)</f>
        <v>O8.b</v>
      </c>
    </row>
    <row r="74" spans="1:6" ht="14.25" x14ac:dyDescent="0.2">
      <c r="A74" s="5" t="s">
        <v>126</v>
      </c>
      <c r="B74" s="6">
        <f>VLOOKUP(A74,'Exported Results'!A$42:D$161,4,FALSE)</f>
        <v>35.039398193359375</v>
      </c>
      <c r="C74" s="6">
        <f t="shared" si="3"/>
        <v>35.039398193359375</v>
      </c>
      <c r="D74" s="3" t="str">
        <f>VLOOKUP(A74,'Exported Results'!A$42:D$161,2,FALSE)</f>
        <v>O8.c</v>
      </c>
    </row>
    <row r="75" spans="1:6" ht="14.25" x14ac:dyDescent="0.2">
      <c r="A75" s="5" t="s">
        <v>127</v>
      </c>
      <c r="B75" s="6">
        <f>VLOOKUP(A75,'Exported Results'!A$42:D$161,4,FALSE)</f>
        <v>34.965660095214844</v>
      </c>
      <c r="C75" s="6">
        <f t="shared" si="3"/>
        <v>34.965660095214844</v>
      </c>
      <c r="D75" s="3" t="str">
        <f>VLOOKUP(A75,'Exported Results'!A$42:D$161,2,FALSE)</f>
        <v>O9.a</v>
      </c>
      <c r="E75" s="14">
        <f>AVERAGE(C75:C77)</f>
        <v>35.288603464762367</v>
      </c>
      <c r="F75">
        <f>_xlfn.STDEV.P(C75:C77)</f>
        <v>0.27618086183074536</v>
      </c>
    </row>
    <row r="76" spans="1:6" ht="14.25" x14ac:dyDescent="0.2">
      <c r="A76" s="5" t="s">
        <v>128</v>
      </c>
      <c r="B76" s="6">
        <f>VLOOKUP(A76,'Exported Results'!A$42:D$161,4,FALSE)</f>
        <v>35.640323638916016</v>
      </c>
      <c r="C76" s="6">
        <f t="shared" si="3"/>
        <v>35.640323638916016</v>
      </c>
      <c r="D76" s="3" t="str">
        <f>VLOOKUP(A76,'Exported Results'!A$42:D$161,2,FALSE)</f>
        <v>O9.b</v>
      </c>
    </row>
    <row r="77" spans="1:6" ht="14.25" x14ac:dyDescent="0.2">
      <c r="A77" s="5" t="s">
        <v>129</v>
      </c>
      <c r="B77" s="6">
        <f>VLOOKUP(A77,'Exported Results'!A$42:D$161,4,FALSE)</f>
        <v>35.25982666015625</v>
      </c>
      <c r="C77" s="6">
        <f t="shared" si="3"/>
        <v>35.25982666015625</v>
      </c>
      <c r="D77" s="3" t="str">
        <f>VLOOKUP(A77,'Exported Results'!A$42:D$161,2,FALSE)</f>
        <v>O9.c</v>
      </c>
    </row>
    <row r="78" spans="1:6" ht="14.25" x14ac:dyDescent="0.2">
      <c r="A78" s="5" t="s">
        <v>130</v>
      </c>
      <c r="B78" s="6">
        <f>VLOOKUP(A78,'Exported Results'!A$42:D$161,4,FALSE)</f>
        <v>35.248138427734375</v>
      </c>
      <c r="C78" s="6">
        <f t="shared" si="3"/>
        <v>35.248138427734375</v>
      </c>
      <c r="D78" s="3" t="str">
        <f>VLOOKUP(A78,'Exported Results'!A$42:D$161,2,FALSE)</f>
        <v>P1.a</v>
      </c>
      <c r="E78" s="14">
        <f>AVERAGE(C78:C80)</f>
        <v>35.159084320068359</v>
      </c>
      <c r="F78">
        <f>_xlfn.STDEV.P(C78:C80)</f>
        <v>6.3552944142073881E-2</v>
      </c>
    </row>
    <row r="79" spans="1:6" ht="14.25" x14ac:dyDescent="0.2">
      <c r="A79" s="5" t="s">
        <v>131</v>
      </c>
      <c r="B79" s="6">
        <f>VLOOKUP(A79,'Exported Results'!A$42:D$161,4,FALSE)</f>
        <v>35.125068664550781</v>
      </c>
      <c r="C79" s="6">
        <f t="shared" si="3"/>
        <v>35.125068664550781</v>
      </c>
      <c r="D79" s="3" t="str">
        <f>VLOOKUP(A79,'Exported Results'!A$42:D$161,2,FALSE)</f>
        <v>P1.b</v>
      </c>
    </row>
    <row r="80" spans="1:6" ht="14.25" x14ac:dyDescent="0.2">
      <c r="A80" s="5" t="s">
        <v>132</v>
      </c>
      <c r="B80" s="6">
        <f>VLOOKUP(A80,'Exported Results'!A$42:D$161,4,FALSE)</f>
        <v>35.104045867919922</v>
      </c>
      <c r="C80" s="6">
        <f t="shared" si="3"/>
        <v>35.104045867919922</v>
      </c>
      <c r="D80" s="3" t="str">
        <f>VLOOKUP(A80,'Exported Results'!A$42:D$161,2,FALSE)</f>
        <v>P1.c</v>
      </c>
    </row>
    <row r="81" spans="1:6" ht="14.25" x14ac:dyDescent="0.2">
      <c r="A81" s="5" t="s">
        <v>133</v>
      </c>
      <c r="B81" s="6">
        <f>VLOOKUP(A81,'Exported Results'!A$42:D$161,4,FALSE)</f>
        <v>36.019020080566406</v>
      </c>
      <c r="C81" s="6">
        <f t="shared" si="3"/>
        <v>36.019020080566406</v>
      </c>
      <c r="D81" s="3" t="str">
        <f>VLOOKUP(A81,'Exported Results'!A$42:D$161,2,FALSE)</f>
        <v>P2.a</v>
      </c>
      <c r="E81" s="14">
        <f>AVERAGE(C81:C83)</f>
        <v>35.849908828735352</v>
      </c>
      <c r="F81">
        <f>_xlfn.STDEV.P(C81:C83)</f>
        <v>0.16911125183105469</v>
      </c>
    </row>
    <row r="82" spans="1:6" ht="14.25" x14ac:dyDescent="0.2">
      <c r="A82" s="5" t="s">
        <v>134</v>
      </c>
      <c r="B82" s="6">
        <f>VLOOKUP(A82,'Exported Results'!A$42:D$161,4,FALSE)</f>
        <v>36.831180572509766</v>
      </c>
      <c r="C82" s="7"/>
      <c r="D82" s="3" t="str">
        <f>VLOOKUP(A82,'Exported Results'!A$42:D$161,2,FALSE)</f>
        <v>P2.b</v>
      </c>
    </row>
    <row r="83" spans="1:6" ht="14.25" x14ac:dyDescent="0.2">
      <c r="A83" s="5" t="s">
        <v>135</v>
      </c>
      <c r="B83" s="6">
        <f>VLOOKUP(A83,'Exported Results'!A$42:D$161,4,FALSE)</f>
        <v>35.680797576904297</v>
      </c>
      <c r="C83" s="6">
        <f t="shared" si="3"/>
        <v>35.680797576904297</v>
      </c>
      <c r="D83" s="3" t="str">
        <f>VLOOKUP(A83,'Exported Results'!A$42:D$161,2,FALSE)</f>
        <v>P2.c</v>
      </c>
    </row>
    <row r="84" spans="1:6" ht="14.25" x14ac:dyDescent="0.2">
      <c r="A84" s="5" t="s">
        <v>136</v>
      </c>
      <c r="B84" s="6">
        <f>VLOOKUP(A84,'Exported Results'!A$42:D$161,4,FALSE)</f>
        <v>35.164463043212891</v>
      </c>
      <c r="C84" s="6">
        <f t="shared" si="3"/>
        <v>35.164463043212891</v>
      </c>
      <c r="D84" s="3" t="str">
        <f>VLOOKUP(A84,'Exported Results'!A$42:D$161,2,FALSE)</f>
        <v>P3.a</v>
      </c>
      <c r="E84" s="14">
        <f>AVERAGE(C84:C86)</f>
        <v>35.123682022094727</v>
      </c>
      <c r="F84">
        <f>_xlfn.STDEV.P(C84:C86)</f>
        <v>4.0781021118164063E-2</v>
      </c>
    </row>
    <row r="85" spans="1:6" ht="14.25" x14ac:dyDescent="0.2">
      <c r="A85" s="5" t="s">
        <v>137</v>
      </c>
      <c r="B85" s="6">
        <f>VLOOKUP(A85,'Exported Results'!A$42:D$161,4,FALSE)</f>
        <v>36.614349365234375</v>
      </c>
      <c r="C85" s="7"/>
      <c r="D85" s="3" t="str">
        <f>VLOOKUP(A85,'Exported Results'!A$42:D$161,2,FALSE)</f>
        <v>P3.b</v>
      </c>
    </row>
    <row r="86" spans="1:6" ht="14.25" x14ac:dyDescent="0.2">
      <c r="A86" s="5" t="s">
        <v>138</v>
      </c>
      <c r="B86" s="6">
        <f>VLOOKUP(A86,'Exported Results'!A$42:D$161,4,FALSE)</f>
        <v>35.082901000976563</v>
      </c>
      <c r="C86" s="6">
        <f t="shared" si="3"/>
        <v>35.082901000976563</v>
      </c>
      <c r="D86" s="3" t="str">
        <f>VLOOKUP(A86,'Exported Results'!A$42:D$161,2,FALSE)</f>
        <v>P3.c</v>
      </c>
    </row>
    <row r="87" spans="1:6" ht="14.25" x14ac:dyDescent="0.2">
      <c r="A87" s="5" t="s">
        <v>139</v>
      </c>
      <c r="B87" s="6">
        <f>VLOOKUP(A87,'Exported Results'!A$42:D$161,4,FALSE)</f>
        <v>35.280971527099609</v>
      </c>
      <c r="C87" s="6">
        <f t="shared" si="3"/>
        <v>35.280971527099609</v>
      </c>
      <c r="D87" s="3" t="str">
        <f>VLOOKUP(A87,'Exported Results'!A$42:D$161,2,FALSE)</f>
        <v>P4.a</v>
      </c>
      <c r="E87" s="14">
        <f>AVERAGE(C87:C89)</f>
        <v>35.280927022298179</v>
      </c>
      <c r="F87">
        <f>_xlfn.STDEV.P(C87:C89)</f>
        <v>0.1658929192640255</v>
      </c>
    </row>
    <row r="88" spans="1:6" ht="14.25" x14ac:dyDescent="0.2">
      <c r="A88" s="5" t="s">
        <v>140</v>
      </c>
      <c r="B88" s="6">
        <f>VLOOKUP(A88,'Exported Results'!A$42:D$161,4,FALSE)</f>
        <v>35.484081268310547</v>
      </c>
      <c r="C88" s="6">
        <f t="shared" si="3"/>
        <v>35.484081268310547</v>
      </c>
      <c r="D88" s="3" t="str">
        <f>VLOOKUP(A88,'Exported Results'!A$42:D$161,2,FALSE)</f>
        <v>P4.b</v>
      </c>
    </row>
    <row r="89" spans="1:6" ht="14.25" x14ac:dyDescent="0.2">
      <c r="A89" s="5" t="s">
        <v>141</v>
      </c>
      <c r="B89" s="6">
        <f>VLOOKUP(A89,'Exported Results'!A$42:D$161,4,FALSE)</f>
        <v>35.077728271484375</v>
      </c>
      <c r="C89" s="6">
        <f t="shared" si="3"/>
        <v>35.077728271484375</v>
      </c>
      <c r="D89" s="3" t="str">
        <f>VLOOKUP(A89,'Exported Results'!A$42:D$161,2,FALSE)</f>
        <v>P4.c</v>
      </c>
    </row>
    <row r="90" spans="1:6" ht="14.25" x14ac:dyDescent="0.2">
      <c r="A90" s="5" t="s">
        <v>142</v>
      </c>
      <c r="B90" s="6">
        <f>VLOOKUP(A90,'Exported Results'!A$42:D$161,4,FALSE)</f>
        <v>35.783737182617188</v>
      </c>
      <c r="C90" s="6">
        <f t="shared" si="3"/>
        <v>35.783737182617188</v>
      </c>
      <c r="D90" s="3" t="str">
        <f>VLOOKUP(A90,'Exported Results'!A$42:D$161,2,FALSE)</f>
        <v>P5.a</v>
      </c>
      <c r="E90" s="14">
        <f>AVERAGE(C90:C92)</f>
        <v>35.588063557942711</v>
      </c>
      <c r="F90">
        <f>_xlfn.STDEV.P(C90:C92)</f>
        <v>0.13915818702873464</v>
      </c>
    </row>
    <row r="91" spans="1:6" ht="14.25" x14ac:dyDescent="0.2">
      <c r="A91" s="5" t="s">
        <v>143</v>
      </c>
      <c r="B91" s="6">
        <f>VLOOKUP(A91,'Exported Results'!A$42:D$161,4,FALSE)</f>
        <v>35.508430480957031</v>
      </c>
      <c r="C91" s="6">
        <f t="shared" si="3"/>
        <v>35.508430480957031</v>
      </c>
      <c r="D91" s="3" t="str">
        <f>VLOOKUP(A91,'Exported Results'!A$42:D$161,2,FALSE)</f>
        <v>P5.b</v>
      </c>
    </row>
    <row r="92" spans="1:6" ht="14.25" x14ac:dyDescent="0.2">
      <c r="A92" s="5" t="s">
        <v>144</v>
      </c>
      <c r="B92" s="6">
        <f>VLOOKUP(A92,'Exported Results'!A$42:D$161,4,FALSE)</f>
        <v>35.472023010253906</v>
      </c>
      <c r="C92" s="6">
        <f t="shared" si="3"/>
        <v>35.472023010253906</v>
      </c>
      <c r="D92" s="3" t="str">
        <f>VLOOKUP(A92,'Exported Results'!A$42:D$161,2,FALSE)</f>
        <v>P5.c</v>
      </c>
    </row>
    <row r="93" spans="1:6" ht="14.25" x14ac:dyDescent="0.2">
      <c r="A93" s="5" t="s">
        <v>145</v>
      </c>
      <c r="B93" s="6">
        <f>VLOOKUP(A93,'Exported Results'!A$42:D$161,4,FALSE)</f>
        <v>36.014194488525391</v>
      </c>
      <c r="C93" s="6">
        <f t="shared" si="3"/>
        <v>36.014194488525391</v>
      </c>
      <c r="D93" s="3" t="str">
        <f>VLOOKUP(A93,'Exported Results'!A$42:D$161,2,FALSE)</f>
        <v>P6.a</v>
      </c>
      <c r="E93" s="14">
        <f>AVERAGE(C93:C95)</f>
        <v>35.48028564453125</v>
      </c>
      <c r="F93">
        <f>_xlfn.STDEV.P(C93:C95)</f>
        <v>0.44728000472559376</v>
      </c>
    </row>
    <row r="94" spans="1:6" ht="14.25" x14ac:dyDescent="0.2">
      <c r="A94" s="5" t="s">
        <v>146</v>
      </c>
      <c r="B94" s="6">
        <f>VLOOKUP(A94,'Exported Results'!A$42:D$161,4,FALSE)</f>
        <v>35.507091522216797</v>
      </c>
      <c r="C94" s="6">
        <f t="shared" si="3"/>
        <v>35.507091522216797</v>
      </c>
      <c r="D94" s="3" t="str">
        <f>VLOOKUP(A94,'Exported Results'!A$42:D$161,2,FALSE)</f>
        <v>P6.b</v>
      </c>
    </row>
    <row r="95" spans="1:6" ht="14.25" x14ac:dyDescent="0.2">
      <c r="A95" s="5" t="s">
        <v>147</v>
      </c>
      <c r="B95" s="6">
        <f>VLOOKUP(A95,'Exported Results'!A$42:D$161,4,FALSE)</f>
        <v>34.919570922851563</v>
      </c>
      <c r="C95" s="6">
        <f t="shared" si="3"/>
        <v>34.919570922851563</v>
      </c>
      <c r="D95" s="3" t="str">
        <f>VLOOKUP(A95,'Exported Results'!A$42:D$161,2,FALSE)</f>
        <v>P6.c</v>
      </c>
    </row>
    <row r="96" spans="1:6" ht="14.25" x14ac:dyDescent="0.2">
      <c r="A96" s="5" t="s">
        <v>148</v>
      </c>
      <c r="B96" s="6">
        <f>VLOOKUP(A96,'Exported Results'!A$42:D$161,4,FALSE)</f>
        <v>33.95196533203125</v>
      </c>
      <c r="C96" s="6">
        <f t="shared" si="3"/>
        <v>33.95196533203125</v>
      </c>
      <c r="D96" s="3" t="str">
        <f>VLOOKUP(A96,'Exported Results'!A$42:D$161,2,FALSE)</f>
        <v>P7.a</v>
      </c>
      <c r="E96" s="14">
        <f>AVERAGE(C96:C98)</f>
        <v>34.274692535400391</v>
      </c>
      <c r="F96">
        <f>_xlfn.STDEV.P(C96:C98)</f>
        <v>0.32272720336914063</v>
      </c>
    </row>
    <row r="97" spans="1:6" ht="14.25" x14ac:dyDescent="0.2">
      <c r="A97" s="5" t="s">
        <v>149</v>
      </c>
      <c r="B97" s="6">
        <f>VLOOKUP(A97,'Exported Results'!A$42:D$161,4,FALSE)</f>
        <v>35.731761932373047</v>
      </c>
      <c r="C97" s="7"/>
      <c r="D97" s="3" t="str">
        <f>VLOOKUP(A97,'Exported Results'!A$42:D$161,2,FALSE)</f>
        <v>P7.b</v>
      </c>
    </row>
    <row r="98" spans="1:6" ht="14.25" x14ac:dyDescent="0.2">
      <c r="A98" s="5" t="s">
        <v>150</v>
      </c>
      <c r="B98" s="6">
        <f>VLOOKUP(A98,'Exported Results'!A$42:D$161,4,FALSE)</f>
        <v>34.597419738769531</v>
      </c>
      <c r="C98" s="6">
        <f t="shared" si="3"/>
        <v>34.597419738769531</v>
      </c>
      <c r="D98" s="3" t="str">
        <f>VLOOKUP(A98,'Exported Results'!A$42:D$161,2,FALSE)</f>
        <v>P7.c</v>
      </c>
    </row>
    <row r="99" spans="1:6" ht="14.25" x14ac:dyDescent="0.2">
      <c r="A99" s="5" t="s">
        <v>151</v>
      </c>
      <c r="B99" s="6">
        <f>VLOOKUP(A99,'Exported Results'!A$42:D$161,4,FALSE)</f>
        <v>35.082386016845703</v>
      </c>
      <c r="C99" s="6">
        <f t="shared" si="3"/>
        <v>35.082386016845703</v>
      </c>
      <c r="D99" s="3" t="str">
        <f>VLOOKUP(A99,'Exported Results'!A$42:D$161,2,FALSE)</f>
        <v>P8.a</v>
      </c>
      <c r="E99" s="14">
        <f>AVERAGE(C99:C101)</f>
        <v>34.586012522379555</v>
      </c>
      <c r="F99">
        <f>_xlfn.STDEV.P(C99:C101)</f>
        <v>0.40268471666479083</v>
      </c>
    </row>
    <row r="100" spans="1:6" ht="14.25" x14ac:dyDescent="0.2">
      <c r="A100" s="5" t="s">
        <v>152</v>
      </c>
      <c r="B100" s="6">
        <f>VLOOKUP(A100,'Exported Results'!A$42:D$161,4,FALSE)</f>
        <v>34.579574584960938</v>
      </c>
      <c r="C100" s="6">
        <f t="shared" si="3"/>
        <v>34.579574584960938</v>
      </c>
      <c r="D100" s="3" t="str">
        <f>VLOOKUP(A100,'Exported Results'!A$42:D$161,2,FALSE)</f>
        <v>P8.b</v>
      </c>
    </row>
    <row r="101" spans="1:6" ht="14.25" x14ac:dyDescent="0.2">
      <c r="A101" s="5" t="s">
        <v>153</v>
      </c>
      <c r="B101" s="6">
        <f>VLOOKUP(A101,'Exported Results'!A$42:D$161,4,FALSE)</f>
        <v>34.096076965332031</v>
      </c>
      <c r="C101" s="6">
        <f t="shared" si="3"/>
        <v>34.096076965332031</v>
      </c>
      <c r="D101" s="3" t="str">
        <f>VLOOKUP(A101,'Exported Results'!A$42:D$161,2,FALSE)</f>
        <v>P8.c</v>
      </c>
    </row>
    <row r="102" spans="1:6" ht="14.25" x14ac:dyDescent="0.2">
      <c r="A102" s="5" t="s">
        <v>154</v>
      </c>
      <c r="B102" s="6">
        <f>VLOOKUP(A102,'Exported Results'!A$42:D$161,4,FALSE)</f>
        <v>35.9442138671875</v>
      </c>
      <c r="C102" s="6">
        <f t="shared" si="3"/>
        <v>35.9442138671875</v>
      </c>
      <c r="D102" s="3" t="str">
        <f>VLOOKUP(A102,'Exported Results'!A$42:D$161,2,FALSE)</f>
        <v>P9.a</v>
      </c>
      <c r="E102" s="14">
        <f>AVERAGE(C102:C104)</f>
        <v>35.657540639241539</v>
      </c>
      <c r="F102">
        <f>_xlfn.STDEV.P(C102:C104)</f>
        <v>0.28091251398159545</v>
      </c>
    </row>
    <row r="103" spans="1:6" ht="14.25" x14ac:dyDescent="0.2">
      <c r="A103" s="5" t="s">
        <v>155</v>
      </c>
      <c r="B103" s="6">
        <f>VLOOKUP(A103,'Exported Results'!A$42:D$161,4,FALSE)</f>
        <v>35.752388000488281</v>
      </c>
      <c r="C103" s="6">
        <f t="shared" si="3"/>
        <v>35.752388000488281</v>
      </c>
      <c r="D103" s="3" t="str">
        <f>VLOOKUP(A103,'Exported Results'!A$42:D$161,2,FALSE)</f>
        <v>P9.b</v>
      </c>
    </row>
    <row r="104" spans="1:6" ht="14.25" x14ac:dyDescent="0.2">
      <c r="A104" s="5" t="s">
        <v>156</v>
      </c>
      <c r="B104" s="6">
        <f>VLOOKUP(A104,'Exported Results'!A$42:D$161,4,FALSE)</f>
        <v>35.276020050048828</v>
      </c>
      <c r="C104" s="6">
        <f t="shared" si="3"/>
        <v>35.276020050048828</v>
      </c>
      <c r="D104" s="3" t="str">
        <f>VLOOKUP(A104,'Exported Results'!A$42:D$161,2,FALSE)</f>
        <v>P9.c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3"/>
        <v>40.1</v>
      </c>
      <c r="D105" s="3" t="str">
        <f>VLOOKUP(A105,'Exported Results'!A$42:D$161,2,FALSE)</f>
        <v/>
      </c>
      <c r="E105" s="14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3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3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3"/>
        <v>40.1</v>
      </c>
      <c r="D108" s="3" t="str">
        <f>VLOOKUP(A108,'Exported Results'!A$42:D$161,2,FALSE)</f>
        <v/>
      </c>
      <c r="E108" s="14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3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3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3"/>
        <v>40.1</v>
      </c>
      <c r="D111" s="3" t="str">
        <f>VLOOKUP(A111,'Exported Results'!A$42:D$161,2,FALSE)</f>
        <v/>
      </c>
      <c r="E111" s="14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3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3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3"/>
        <v>40.1</v>
      </c>
      <c r="D114" s="3" t="str">
        <f>VLOOKUP(A114,'Exported Results'!A$42:D$161,2,FALSE)</f>
        <v/>
      </c>
      <c r="E114" s="14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3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3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3"/>
        <v>40.1</v>
      </c>
      <c r="D117" s="3" t="str">
        <f>VLOOKUP(A117,'Exported Results'!A$42:D$161,2,FALSE)</f>
        <v/>
      </c>
      <c r="E117" s="14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3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3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3"/>
        <v>40.1</v>
      </c>
      <c r="D120" s="3" t="str">
        <f>VLOOKUP(A120,'Exported Results'!A$42:D$161,2,FALSE)</f>
        <v/>
      </c>
      <c r="E120" s="14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3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3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si="3"/>
        <v>40.1</v>
      </c>
      <c r="D123" s="3" t="str">
        <f>VLOOKUP(A123,'Exported Results'!A$162:D$281,2,FALSE)</f>
        <v>Blank 1.a</v>
      </c>
      <c r="E123" s="14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3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3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22.779230117797852</v>
      </c>
      <c r="C126" s="6">
        <f t="shared" si="3"/>
        <v>22.779230117797852</v>
      </c>
      <c r="D126" s="3" t="str">
        <f>VLOOKUP(A126,'Exported Results'!A$162:D$281,2,FALSE)</f>
        <v>STD 10a</v>
      </c>
      <c r="E126" s="14">
        <f>AVERAGE(C126:C128)</f>
        <v>23.054658253987629</v>
      </c>
      <c r="F126">
        <f>_xlfn.STDEV.P(C126:C128)</f>
        <v>0.19535802148237902</v>
      </c>
    </row>
    <row r="127" spans="1:6" ht="14.25" x14ac:dyDescent="0.2">
      <c r="A127" s="5" t="s">
        <v>179</v>
      </c>
      <c r="B127" s="6">
        <f>VLOOKUP(A127,'Exported Results'!A$162:D$281,4,FALSE)</f>
        <v>23.173620223999023</v>
      </c>
      <c r="C127" s="6">
        <f t="shared" si="3"/>
        <v>23.173620223999023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23.211124420166016</v>
      </c>
      <c r="C128" s="6">
        <f t="shared" si="3"/>
        <v>23.211124420166016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24.284065246582031</v>
      </c>
      <c r="C129" s="6">
        <f t="shared" si="3"/>
        <v>24.284065246582031</v>
      </c>
      <c r="D129" s="3" t="str">
        <f>VLOOKUP(A129,'Exported Results'!A$162:D$281,2,FALSE)</f>
        <v>STD 20a</v>
      </c>
      <c r="E129" s="14">
        <f>AVERAGE(C129:C131)</f>
        <v>24.267371495564777</v>
      </c>
      <c r="F129">
        <f>_xlfn.STDEV.P(C129:C131)</f>
        <v>1.4290010432539713E-2</v>
      </c>
    </row>
    <row r="130" spans="1:6" ht="14.25" x14ac:dyDescent="0.2">
      <c r="A130" s="5" t="s">
        <v>182</v>
      </c>
      <c r="B130" s="6">
        <f>VLOOKUP(A130,'Exported Results'!A$162:D$281,4,FALSE)</f>
        <v>24.268888473510742</v>
      </c>
      <c r="C130" s="6">
        <f t="shared" si="3"/>
        <v>24.268888473510742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24.249160766601563</v>
      </c>
      <c r="C131" s="6">
        <f t="shared" si="3"/>
        <v>24.249160766601563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25.361593246459961</v>
      </c>
      <c r="C132" s="6">
        <f t="shared" ref="C132:C195" si="4">IF(B132="Undetermined",40.1,B132)</f>
        <v>25.361593246459961</v>
      </c>
      <c r="D132" s="3" t="str">
        <f>VLOOKUP(A132,'Exported Results'!A$162:D$281,2,FALSE)</f>
        <v>STD 40a</v>
      </c>
      <c r="E132" s="14">
        <f>AVERAGE(C132:C134)</f>
        <v>25.346165657043457</v>
      </c>
      <c r="F132">
        <f>_xlfn.STDEV.P(C132:C134)</f>
        <v>1.5427589416503906E-2</v>
      </c>
    </row>
    <row r="133" spans="1:6" ht="14.25" x14ac:dyDescent="0.2">
      <c r="A133" s="5" t="s">
        <v>185</v>
      </c>
      <c r="B133" s="6">
        <f>VLOOKUP(A133,'Exported Results'!A$162:D$281,4,FALSE)</f>
        <v>25.330738067626953</v>
      </c>
      <c r="C133" s="6">
        <f t="shared" si="4"/>
        <v>25.330738067626953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 t="str">
        <f>VLOOKUP(A134,'Exported Results'!A$162:D$281,4,FALSE)</f>
        <v>Undetermined</v>
      </c>
      <c r="C134" s="7"/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26.287515640258789</v>
      </c>
      <c r="C135" s="6">
        <f t="shared" si="4"/>
        <v>26.287515640258789</v>
      </c>
      <c r="D135" s="3" t="str">
        <f>VLOOKUP(A135,'Exported Results'!A$162:D$281,2,FALSE)</f>
        <v>STD 80a</v>
      </c>
      <c r="E135" s="14">
        <f>AVERAGE(C135:C137)</f>
        <v>26.28581714630127</v>
      </c>
      <c r="F135">
        <f>_xlfn.STDEV.P(C135:C137)</f>
        <v>1.6984939575195313E-3</v>
      </c>
    </row>
    <row r="136" spans="1:6" ht="14.25" x14ac:dyDescent="0.2">
      <c r="A136" s="5" t="s">
        <v>188</v>
      </c>
      <c r="B136" s="6">
        <f>VLOOKUP(A136,'Exported Results'!A$162:D$281,4,FALSE)</f>
        <v>26.28411865234375</v>
      </c>
      <c r="C136" s="6">
        <f t="shared" si="4"/>
        <v>26.28411865234375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25.621913909912109</v>
      </c>
      <c r="C137" s="7"/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29.429666519165039</v>
      </c>
      <c r="C138" s="7"/>
      <c r="D138" s="3" t="str">
        <f>VLOOKUP(A138,'Exported Results'!A$162:D$281,2,FALSE)</f>
        <v>STD 160a</v>
      </c>
      <c r="E138" s="14">
        <f>AVERAGE(C138:C140)</f>
        <v>27.511431694030762</v>
      </c>
      <c r="F138">
        <f>_xlfn.STDEV.P(C138:C140)</f>
        <v>4.6434402465820313E-3</v>
      </c>
    </row>
    <row r="139" spans="1:6" ht="14.25" x14ac:dyDescent="0.2">
      <c r="A139" s="5" t="s">
        <v>191</v>
      </c>
      <c r="B139" s="6">
        <f>VLOOKUP(A139,'Exported Results'!A$162:D$281,4,FALSE)</f>
        <v>27.516075134277344</v>
      </c>
      <c r="C139" s="6">
        <f t="shared" si="4"/>
        <v>27.516075134277344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27.50678825378418</v>
      </c>
      <c r="C140" s="6">
        <f t="shared" si="4"/>
        <v>27.50678825378418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28.581161499023438</v>
      </c>
      <c r="C141" s="6">
        <f t="shared" si="4"/>
        <v>28.581161499023438</v>
      </c>
      <c r="D141" s="3" t="str">
        <f>VLOOKUP(A141,'Exported Results'!A$162:D$281,2,FALSE)</f>
        <v>STD 320a</v>
      </c>
      <c r="E141" s="14">
        <f>AVERAGE(C141:C143)</f>
        <v>28.530122756958008</v>
      </c>
      <c r="F141">
        <f>_xlfn.STDEV.P(C141:C143)</f>
        <v>7.4975162610052742E-2</v>
      </c>
    </row>
    <row r="142" spans="1:6" ht="14.25" x14ac:dyDescent="0.2">
      <c r="A142" s="5" t="s">
        <v>194</v>
      </c>
      <c r="B142" s="6">
        <f>VLOOKUP(A142,'Exported Results'!A$162:D$281,4,FALSE)</f>
        <v>28.585090637207031</v>
      </c>
      <c r="C142" s="6">
        <f t="shared" si="4"/>
        <v>28.585090637207031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28.424116134643555</v>
      </c>
      <c r="C143" s="6">
        <f t="shared" si="4"/>
        <v>28.424116134643555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24.766056060791016</v>
      </c>
      <c r="C144" s="6">
        <f t="shared" si="4"/>
        <v>24.766056060791016</v>
      </c>
      <c r="D144" s="3" t="str">
        <f>VLOOKUP(A144,'Exported Results'!A$162:D$281,2,FALSE)</f>
        <v>C1.a</v>
      </c>
      <c r="E144" s="14">
        <f>AVERAGE(C144:C146)</f>
        <v>24.491209030151367</v>
      </c>
      <c r="F144">
        <f>_xlfn.STDEV.P(C144:C146)</f>
        <v>0.27484703063964844</v>
      </c>
    </row>
    <row r="145" spans="1:6" ht="14.25" x14ac:dyDescent="0.2">
      <c r="A145" s="5" t="s">
        <v>197</v>
      </c>
      <c r="B145" s="6">
        <f>VLOOKUP(A145,'Exported Results'!A$162:D$281,4,FALSE)</f>
        <v>24.216361999511719</v>
      </c>
      <c r="C145" s="6">
        <f t="shared" si="4"/>
        <v>24.216361999511719</v>
      </c>
      <c r="D145" s="3" t="str">
        <f>VLOOKUP(A145,'Exported Results'!A$162:D$281,2,FALSE)</f>
        <v>C1.b</v>
      </c>
    </row>
    <row r="146" spans="1:6" ht="14.25" x14ac:dyDescent="0.2">
      <c r="A146" s="5" t="s">
        <v>198</v>
      </c>
      <c r="B146" s="6" t="str">
        <f>VLOOKUP(A146,'Exported Results'!A$162:D$281,4,FALSE)</f>
        <v>Undetermined</v>
      </c>
      <c r="C146" s="7"/>
      <c r="D146" s="3" t="str">
        <f>VLOOKUP(A146,'Exported Results'!A$162:D$281,2,FALSE)</f>
        <v>C1.c</v>
      </c>
    </row>
    <row r="147" spans="1:6" ht="14.25" x14ac:dyDescent="0.2">
      <c r="A147" s="5" t="s">
        <v>199</v>
      </c>
      <c r="B147" s="6">
        <f>VLOOKUP(A147,'Exported Results'!A$162:D$281,4,FALSE)</f>
        <v>23.952447891235352</v>
      </c>
      <c r="C147" s="7"/>
      <c r="D147" s="3" t="str">
        <f>VLOOKUP(A147,'Exported Results'!A$162:D$281,2,FALSE)</f>
        <v>C2.a</v>
      </c>
      <c r="E147" s="14">
        <f>AVERAGE(C147:C149)</f>
        <v>24.839381217956543</v>
      </c>
      <c r="F147">
        <f>_xlfn.STDEV.P(C147:C149)</f>
        <v>0.17527675628662109</v>
      </c>
    </row>
    <row r="148" spans="1:6" ht="14.25" x14ac:dyDescent="0.2">
      <c r="A148" s="5" t="s">
        <v>200</v>
      </c>
      <c r="B148" s="6">
        <f>VLOOKUP(A148,'Exported Results'!A$162:D$281,4,FALSE)</f>
        <v>24.664104461669922</v>
      </c>
      <c r="C148" s="6">
        <f t="shared" si="4"/>
        <v>24.664104461669922</v>
      </c>
      <c r="D148" s="3" t="str">
        <f>VLOOKUP(A148,'Exported Results'!A$162:D$281,2,FALSE)</f>
        <v>C2.b</v>
      </c>
    </row>
    <row r="149" spans="1:6" ht="14.25" x14ac:dyDescent="0.2">
      <c r="A149" s="5" t="s">
        <v>201</v>
      </c>
      <c r="B149" s="6">
        <f>VLOOKUP(A149,'Exported Results'!A$162:D$281,4,FALSE)</f>
        <v>25.014657974243164</v>
      </c>
      <c r="C149" s="6">
        <f t="shared" si="4"/>
        <v>25.014657974243164</v>
      </c>
      <c r="D149" s="3" t="str">
        <f>VLOOKUP(A149,'Exported Results'!A$162:D$281,2,FALSE)</f>
        <v>C2.c</v>
      </c>
    </row>
    <row r="150" spans="1:6" ht="14.25" x14ac:dyDescent="0.2">
      <c r="A150" s="5" t="s">
        <v>202</v>
      </c>
      <c r="B150" s="6">
        <f>VLOOKUP(A150,'Exported Results'!A$162:D$281,4,FALSE)</f>
        <v>25.38862419128418</v>
      </c>
      <c r="C150" s="6">
        <f t="shared" si="4"/>
        <v>25.38862419128418</v>
      </c>
      <c r="D150" s="3" t="str">
        <f>VLOOKUP(A150,'Exported Results'!A$162:D$281,2,FALSE)</f>
        <v>C3.a</v>
      </c>
      <c r="E150" s="14">
        <f>AVERAGE(C150:C152)</f>
        <v>25.282127380371094</v>
      </c>
      <c r="F150">
        <f>_xlfn.STDEV.P(C150:C152)</f>
        <v>0.12867869199811199</v>
      </c>
    </row>
    <row r="151" spans="1:6" ht="14.25" x14ac:dyDescent="0.2">
      <c r="A151" s="5" t="s">
        <v>203</v>
      </c>
      <c r="B151" s="6">
        <f>VLOOKUP(A151,'Exported Results'!A$162:D$281,4,FALSE)</f>
        <v>25.356672286987305</v>
      </c>
      <c r="C151" s="6">
        <f t="shared" si="4"/>
        <v>25.356672286987305</v>
      </c>
      <c r="D151" s="3" t="str">
        <f>VLOOKUP(A151,'Exported Results'!A$162:D$281,2,FALSE)</f>
        <v>C3.b</v>
      </c>
    </row>
    <row r="152" spans="1:6" ht="14.25" x14ac:dyDescent="0.2">
      <c r="A152" s="5" t="s">
        <v>204</v>
      </c>
      <c r="B152" s="6">
        <f>VLOOKUP(A152,'Exported Results'!A$162:D$281,4,FALSE)</f>
        <v>25.101085662841797</v>
      </c>
      <c r="C152" s="6">
        <f t="shared" si="4"/>
        <v>25.101085662841797</v>
      </c>
      <c r="D152" s="3" t="str">
        <f>VLOOKUP(A152,'Exported Results'!A$162:D$281,2,FALSE)</f>
        <v>C3.c</v>
      </c>
    </row>
    <row r="153" spans="1:6" ht="14.25" x14ac:dyDescent="0.2">
      <c r="A153" s="5" t="s">
        <v>205</v>
      </c>
      <c r="B153" s="6">
        <f>VLOOKUP(A153,'Exported Results'!A$162:D$281,4,FALSE)</f>
        <v>25.550254821777344</v>
      </c>
      <c r="C153" s="6">
        <f t="shared" si="4"/>
        <v>25.550254821777344</v>
      </c>
      <c r="D153" s="3" t="str">
        <f>VLOOKUP(A153,'Exported Results'!A$162:D$281,2,FALSE)</f>
        <v>C4.a</v>
      </c>
      <c r="E153" s="14">
        <f>AVERAGE(C153:C155)</f>
        <v>25.529138565063477</v>
      </c>
      <c r="F153">
        <f>_xlfn.STDEV.P(C153:C155)</f>
        <v>3.7654556175405515E-2</v>
      </c>
    </row>
    <row r="154" spans="1:6" ht="14.25" x14ac:dyDescent="0.2">
      <c r="A154" s="5" t="s">
        <v>206</v>
      </c>
      <c r="B154" s="6">
        <f>VLOOKUP(A154,'Exported Results'!A$162:D$281,4,FALSE)</f>
        <v>25.560916900634766</v>
      </c>
      <c r="C154" s="6">
        <f t="shared" si="4"/>
        <v>25.560916900634766</v>
      </c>
      <c r="D154" s="3" t="str">
        <f>VLOOKUP(A154,'Exported Results'!A$162:D$281,2,FALSE)</f>
        <v>C4.b</v>
      </c>
    </row>
    <row r="155" spans="1:6" ht="14.25" x14ac:dyDescent="0.2">
      <c r="A155" s="5" t="s">
        <v>207</v>
      </c>
      <c r="B155" s="6">
        <f>VLOOKUP(A155,'Exported Results'!A$162:D$281,4,FALSE)</f>
        <v>25.47624397277832</v>
      </c>
      <c r="C155" s="6">
        <f t="shared" si="4"/>
        <v>25.47624397277832</v>
      </c>
      <c r="D155" s="3" t="str">
        <f>VLOOKUP(A155,'Exported Results'!A$162:D$281,2,FALSE)</f>
        <v>C4.c</v>
      </c>
    </row>
    <row r="156" spans="1:6" ht="14.25" x14ac:dyDescent="0.2">
      <c r="A156" s="5" t="s">
        <v>208</v>
      </c>
      <c r="B156" s="6">
        <f>VLOOKUP(A156,'Exported Results'!A$162:D$281,4,FALSE)</f>
        <v>25.66645622253418</v>
      </c>
      <c r="C156" s="6">
        <f t="shared" si="4"/>
        <v>25.66645622253418</v>
      </c>
      <c r="D156" s="3" t="str">
        <f>VLOOKUP(A156,'Exported Results'!A$162:D$281,2,FALSE)</f>
        <v>C5.a</v>
      </c>
      <c r="E156" s="14">
        <f>AVERAGE(C156:C158)</f>
        <v>25.66645622253418</v>
      </c>
      <c r="F156">
        <f>_xlfn.STDEV.P(C156:C158)</f>
        <v>0</v>
      </c>
    </row>
    <row r="157" spans="1:6" ht="14.25" x14ac:dyDescent="0.2">
      <c r="A157" s="5" t="s">
        <v>209</v>
      </c>
      <c r="B157" s="6">
        <f>VLOOKUP(A157,'Exported Results'!A$162:D$281,4,FALSE)</f>
        <v>32.357170104980469</v>
      </c>
      <c r="C157" s="7"/>
      <c r="D157" s="3" t="str">
        <f>VLOOKUP(A157,'Exported Results'!A$162:D$281,2,FALSE)</f>
        <v>C5.b</v>
      </c>
    </row>
    <row r="158" spans="1:6" ht="14.25" x14ac:dyDescent="0.2">
      <c r="A158" s="5" t="s">
        <v>210</v>
      </c>
      <c r="B158" s="6" t="str">
        <f>VLOOKUP(A158,'Exported Results'!A$162:D$281,4,FALSE)</f>
        <v>Undetermined</v>
      </c>
      <c r="C158" s="7"/>
      <c r="D158" s="3" t="str">
        <f>VLOOKUP(A158,'Exported Results'!A$162:D$281,2,FALSE)</f>
        <v>C5.c</v>
      </c>
    </row>
    <row r="159" spans="1:6" ht="14.25" x14ac:dyDescent="0.2">
      <c r="A159" s="5" t="s">
        <v>211</v>
      </c>
      <c r="B159" s="6">
        <f>VLOOKUP(A159,'Exported Results'!A$162:D$281,4,FALSE)</f>
        <v>25.652095794677734</v>
      </c>
      <c r="C159" s="6">
        <f t="shared" si="4"/>
        <v>25.652095794677734</v>
      </c>
      <c r="D159" s="3" t="str">
        <f>VLOOKUP(A159,'Exported Results'!A$162:D$281,2,FALSE)</f>
        <v>C6.a</v>
      </c>
      <c r="E159" s="14">
        <f>AVERAGE(C159:C161)</f>
        <v>25.790849685668945</v>
      </c>
      <c r="F159">
        <f>_xlfn.STDEV.P(C159:C161)</f>
        <v>0.13875389099121094</v>
      </c>
    </row>
    <row r="160" spans="1:6" ht="14.25" x14ac:dyDescent="0.2">
      <c r="A160" s="5" t="s">
        <v>212</v>
      </c>
      <c r="B160" s="6">
        <f>VLOOKUP(A160,'Exported Results'!A$162:D$281,4,FALSE)</f>
        <v>25.929603576660156</v>
      </c>
      <c r="C160" s="6">
        <f t="shared" si="4"/>
        <v>25.929603576660156</v>
      </c>
      <c r="D160" s="3" t="str">
        <f>VLOOKUP(A160,'Exported Results'!A$162:D$281,2,FALSE)</f>
        <v>C6.b</v>
      </c>
    </row>
    <row r="161" spans="1:6" ht="14.25" x14ac:dyDescent="0.2">
      <c r="A161" s="5" t="s">
        <v>213</v>
      </c>
      <c r="B161" s="6" t="str">
        <f>VLOOKUP(A161,'Exported Results'!A$162:D$281,4,FALSE)</f>
        <v>Undetermined</v>
      </c>
      <c r="C161" s="7"/>
      <c r="D161" s="3" t="str">
        <f>VLOOKUP(A161,'Exported Results'!A$162:D$281,2,FALSE)</f>
        <v>C6.c</v>
      </c>
    </row>
    <row r="162" spans="1:6" ht="14.25" x14ac:dyDescent="0.2">
      <c r="A162" s="5" t="s">
        <v>214</v>
      </c>
      <c r="B162" s="6">
        <f>VLOOKUP(A162,'Exported Results'!A$162:D$281,4,FALSE)</f>
        <v>24.827930450439453</v>
      </c>
      <c r="C162" s="7"/>
      <c r="D162" s="3" t="str">
        <f>VLOOKUP(A162,'Exported Results'!A$162:D$281,2,FALSE)</f>
        <v>C7.a</v>
      </c>
      <c r="E162" s="14">
        <f>AVERAGE(C162:C164)</f>
        <v>25.514278411865234</v>
      </c>
      <c r="F162">
        <f>_xlfn.STDEV.P(C162:C164)</f>
        <v>7.35015869140625E-2</v>
      </c>
    </row>
    <row r="163" spans="1:6" ht="14.25" x14ac:dyDescent="0.2">
      <c r="A163" s="5" t="s">
        <v>215</v>
      </c>
      <c r="B163" s="6">
        <f>VLOOKUP(A163,'Exported Results'!A$162:D$281,4,FALSE)</f>
        <v>25.440776824951172</v>
      </c>
      <c r="C163" s="6">
        <f t="shared" si="4"/>
        <v>25.440776824951172</v>
      </c>
      <c r="D163" s="3" t="str">
        <f>VLOOKUP(A163,'Exported Results'!A$162:D$281,2,FALSE)</f>
        <v>C7.b</v>
      </c>
    </row>
    <row r="164" spans="1:6" ht="14.25" x14ac:dyDescent="0.2">
      <c r="A164" s="5" t="s">
        <v>216</v>
      </c>
      <c r="B164" s="6">
        <f>VLOOKUP(A164,'Exported Results'!A$162:D$281,4,FALSE)</f>
        <v>25.587779998779297</v>
      </c>
      <c r="C164" s="6">
        <f t="shared" si="4"/>
        <v>25.587779998779297</v>
      </c>
      <c r="D164" s="3" t="str">
        <f>VLOOKUP(A164,'Exported Results'!A$162:D$281,2,FALSE)</f>
        <v>C7.c</v>
      </c>
    </row>
    <row r="165" spans="1:6" ht="14.25" x14ac:dyDescent="0.2">
      <c r="A165" s="5" t="s">
        <v>217</v>
      </c>
      <c r="B165" s="6">
        <f>VLOOKUP(A165,'Exported Results'!A$162:D$281,4,FALSE)</f>
        <v>25.19416618347168</v>
      </c>
      <c r="C165" s="6">
        <f t="shared" si="4"/>
        <v>25.19416618347168</v>
      </c>
      <c r="D165" s="3" t="str">
        <f>VLOOKUP(A165,'Exported Results'!A$162:D$281,2,FALSE)</f>
        <v>C8.a</v>
      </c>
      <c r="E165" s="14">
        <f>AVERAGE(C165:C167)</f>
        <v>25.047179539998371</v>
      </c>
      <c r="F165">
        <f>_xlfn.STDEV.P(C165:C167)</f>
        <v>0.13419460378499276</v>
      </c>
    </row>
    <row r="166" spans="1:6" ht="14.25" x14ac:dyDescent="0.2">
      <c r="A166" s="5" t="s">
        <v>218</v>
      </c>
      <c r="B166" s="6">
        <f>VLOOKUP(A166,'Exported Results'!A$162:D$281,4,FALSE)</f>
        <v>25.07765007019043</v>
      </c>
      <c r="C166" s="6">
        <f t="shared" si="4"/>
        <v>25.07765007019043</v>
      </c>
      <c r="D166" s="3" t="str">
        <f>VLOOKUP(A166,'Exported Results'!A$162:D$281,2,FALSE)</f>
        <v>C8.b</v>
      </c>
    </row>
    <row r="167" spans="1:6" ht="14.25" x14ac:dyDescent="0.2">
      <c r="A167" s="5" t="s">
        <v>219</v>
      </c>
      <c r="B167" s="6">
        <f>VLOOKUP(A167,'Exported Results'!A$162:D$281,4,FALSE)</f>
        <v>24.869722366333008</v>
      </c>
      <c r="C167" s="6">
        <f t="shared" si="4"/>
        <v>24.869722366333008</v>
      </c>
      <c r="D167" s="3" t="str">
        <f>VLOOKUP(A167,'Exported Results'!A$162:D$281,2,FALSE)</f>
        <v>C8.c</v>
      </c>
    </row>
    <row r="168" spans="1:6" ht="14.25" x14ac:dyDescent="0.2">
      <c r="A168" s="5" t="s">
        <v>220</v>
      </c>
      <c r="B168" s="6">
        <f>VLOOKUP(A168,'Exported Results'!A$162:D$281,4,FALSE)</f>
        <v>24.740262985229492</v>
      </c>
      <c r="C168" s="6">
        <f t="shared" si="4"/>
        <v>24.740262985229492</v>
      </c>
      <c r="D168" s="3" t="str">
        <f>VLOOKUP(A168,'Exported Results'!A$162:D$281,2,FALSE)</f>
        <v>C9.a</v>
      </c>
      <c r="E168" s="14">
        <f>AVERAGE(C168:C170)</f>
        <v>24.740262985229492</v>
      </c>
      <c r="F168">
        <f>_xlfn.STDEV.P(C168:C170)</f>
        <v>0</v>
      </c>
    </row>
    <row r="169" spans="1:6" ht="14.25" x14ac:dyDescent="0.2">
      <c r="A169" s="5" t="s">
        <v>221</v>
      </c>
      <c r="B169" s="6" t="str">
        <f>VLOOKUP(A169,'Exported Results'!A$162:D$281,4,FALSE)</f>
        <v>Undetermined</v>
      </c>
      <c r="C169" s="7"/>
      <c r="D169" s="3" t="str">
        <f>VLOOKUP(A169,'Exported Results'!A$162:D$281,2,FALSE)</f>
        <v>C9.b</v>
      </c>
    </row>
    <row r="170" spans="1:6" ht="14.25" x14ac:dyDescent="0.2">
      <c r="A170" s="5" t="s">
        <v>222</v>
      </c>
      <c r="B170" s="6" t="str">
        <f>VLOOKUP(A170,'Exported Results'!A$162:D$281,4,FALSE)</f>
        <v>Undetermined</v>
      </c>
      <c r="C170" s="7"/>
      <c r="D170" s="3" t="str">
        <f>VLOOKUP(A170,'Exported Results'!A$162:D$281,2,FALSE)</f>
        <v>C9.c</v>
      </c>
    </row>
    <row r="171" spans="1:6" ht="14.25" x14ac:dyDescent="0.2">
      <c r="A171" s="5" t="s">
        <v>223</v>
      </c>
      <c r="B171" s="6">
        <f>VLOOKUP(A171,'Exported Results'!A$162:D$281,4,FALSE)</f>
        <v>24.456872940063477</v>
      </c>
      <c r="C171" s="6">
        <f t="shared" si="4"/>
        <v>24.456872940063477</v>
      </c>
      <c r="D171" s="3" t="str">
        <f>VLOOKUP(A171,'Exported Results'!A$162:D$281,2,FALSE)</f>
        <v>O1.a</v>
      </c>
      <c r="E171" s="14">
        <f>AVERAGE(C171:C173)</f>
        <v>24.956590016682942</v>
      </c>
      <c r="F171">
        <f>_xlfn.STDEV.P(C171:C173)</f>
        <v>0.4044524112981871</v>
      </c>
    </row>
    <row r="172" spans="1:6" ht="14.25" x14ac:dyDescent="0.2">
      <c r="A172" s="5" t="s">
        <v>224</v>
      </c>
      <c r="B172" s="6">
        <f>VLOOKUP(A172,'Exported Results'!A$162:D$281,4,FALSE)</f>
        <v>24.96544075012207</v>
      </c>
      <c r="C172" s="6">
        <f t="shared" si="4"/>
        <v>24.96544075012207</v>
      </c>
      <c r="D172" s="3" t="str">
        <f>VLOOKUP(A172,'Exported Results'!A$162:D$281,2,FALSE)</f>
        <v>O1.b</v>
      </c>
    </row>
    <row r="173" spans="1:6" ht="14.25" x14ac:dyDescent="0.2">
      <c r="A173" s="5" t="s">
        <v>225</v>
      </c>
      <c r="B173" s="6">
        <f>VLOOKUP(A173,'Exported Results'!A$162:D$281,4,FALSE)</f>
        <v>25.447456359863281</v>
      </c>
      <c r="C173" s="6">
        <f t="shared" si="4"/>
        <v>25.447456359863281</v>
      </c>
      <c r="D173" s="3" t="str">
        <f>VLOOKUP(A173,'Exported Results'!A$162:D$281,2,FALSE)</f>
        <v>O1.c</v>
      </c>
    </row>
    <row r="174" spans="1:6" ht="14.25" x14ac:dyDescent="0.2">
      <c r="A174" s="5" t="s">
        <v>226</v>
      </c>
      <c r="B174" s="6">
        <f>VLOOKUP(A174,'Exported Results'!A$162:D$281,4,FALSE)</f>
        <v>25.843666076660156</v>
      </c>
      <c r="C174" s="6">
        <f t="shared" si="4"/>
        <v>25.843666076660156</v>
      </c>
      <c r="D174" s="3" t="str">
        <f>VLOOKUP(A174,'Exported Results'!A$162:D$281,2,FALSE)</f>
        <v>O2.a</v>
      </c>
      <c r="E174" s="14">
        <f>AVERAGE(C174:C176)</f>
        <v>25.753615061442058</v>
      </c>
      <c r="F174">
        <f>_xlfn.STDEV.P(C174:C176)</f>
        <v>0.13618444591729059</v>
      </c>
    </row>
    <row r="175" spans="1:6" ht="14.25" x14ac:dyDescent="0.2">
      <c r="A175" s="5" t="s">
        <v>227</v>
      </c>
      <c r="B175" s="6">
        <f>VLOOKUP(A175,'Exported Results'!A$162:D$281,4,FALSE)</f>
        <v>25.561153411865234</v>
      </c>
      <c r="C175" s="6">
        <f t="shared" si="4"/>
        <v>25.561153411865234</v>
      </c>
      <c r="D175" s="3" t="str">
        <f>VLOOKUP(A175,'Exported Results'!A$162:D$281,2,FALSE)</f>
        <v>O2.b</v>
      </c>
    </row>
    <row r="176" spans="1:6" ht="14.25" x14ac:dyDescent="0.2">
      <c r="A176" s="5" t="s">
        <v>228</v>
      </c>
      <c r="B176" s="6">
        <f>VLOOKUP(A176,'Exported Results'!A$162:D$281,4,FALSE)</f>
        <v>25.856025695800781</v>
      </c>
      <c r="C176" s="6">
        <f t="shared" si="4"/>
        <v>25.856025695800781</v>
      </c>
      <c r="D176" s="3" t="str">
        <f>VLOOKUP(A176,'Exported Results'!A$162:D$281,2,FALSE)</f>
        <v>O2.c</v>
      </c>
    </row>
    <row r="177" spans="1:6" ht="14.25" x14ac:dyDescent="0.2">
      <c r="A177" s="5" t="s">
        <v>229</v>
      </c>
      <c r="B177" s="6">
        <f>VLOOKUP(A177,'Exported Results'!A$162:D$281,4,FALSE)</f>
        <v>25.113126754760742</v>
      </c>
      <c r="C177" s="6">
        <f t="shared" si="4"/>
        <v>25.113126754760742</v>
      </c>
      <c r="D177" s="3" t="str">
        <f>VLOOKUP(A177,'Exported Results'!A$162:D$281,2,FALSE)</f>
        <v>O3.a</v>
      </c>
      <c r="E177" s="14">
        <f>AVERAGE(C177:C179)</f>
        <v>25.233519872029621</v>
      </c>
      <c r="F177">
        <f>_xlfn.STDEV.P(C177:C179)</f>
        <v>9.2336994910684228E-2</v>
      </c>
    </row>
    <row r="178" spans="1:6" ht="14.25" x14ac:dyDescent="0.2">
      <c r="A178" s="5" t="s">
        <v>230</v>
      </c>
      <c r="B178" s="6">
        <f>VLOOKUP(A178,'Exported Results'!A$162:D$281,4,FALSE)</f>
        <v>25.337514877319336</v>
      </c>
      <c r="C178" s="6">
        <f t="shared" si="4"/>
        <v>25.337514877319336</v>
      </c>
      <c r="D178" s="3" t="str">
        <f>VLOOKUP(A178,'Exported Results'!A$162:D$281,2,FALSE)</f>
        <v>O3.b</v>
      </c>
    </row>
    <row r="179" spans="1:6" ht="14.25" x14ac:dyDescent="0.2">
      <c r="A179" s="5" t="s">
        <v>231</v>
      </c>
      <c r="B179" s="6">
        <f>VLOOKUP(A179,'Exported Results'!A$162:D$281,4,FALSE)</f>
        <v>25.249917984008789</v>
      </c>
      <c r="C179" s="6">
        <f t="shared" si="4"/>
        <v>25.249917984008789</v>
      </c>
      <c r="D179" s="3" t="str">
        <f>VLOOKUP(A179,'Exported Results'!A$162:D$281,2,FALSE)</f>
        <v>O3.c</v>
      </c>
    </row>
    <row r="180" spans="1:6" ht="14.25" x14ac:dyDescent="0.2">
      <c r="A180" s="5" t="s">
        <v>232</v>
      </c>
      <c r="B180" s="6">
        <f>VLOOKUP(A180,'Exported Results'!A$162:D$281,4,FALSE)</f>
        <v>25.480722427368164</v>
      </c>
      <c r="C180" s="6">
        <f t="shared" si="4"/>
        <v>25.480722427368164</v>
      </c>
      <c r="D180" s="3" t="str">
        <f>VLOOKUP(A180,'Exported Results'!A$162:D$281,2,FALSE)</f>
        <v>O4.a</v>
      </c>
      <c r="E180" s="14">
        <f>AVERAGE(C180:C182)</f>
        <v>25.370820999145508</v>
      </c>
      <c r="F180">
        <f>_xlfn.STDEV.P(C180:C182)</f>
        <v>0.10990142822265625</v>
      </c>
    </row>
    <row r="181" spans="1:6" ht="14.25" x14ac:dyDescent="0.2">
      <c r="A181" s="5" t="s">
        <v>233</v>
      </c>
      <c r="B181" s="6" t="str">
        <f>VLOOKUP(A181,'Exported Results'!A$162:D$281,4,FALSE)</f>
        <v>Undetermined</v>
      </c>
      <c r="C181" s="7"/>
      <c r="D181" s="3" t="str">
        <f>VLOOKUP(A181,'Exported Results'!A$162:D$281,2,FALSE)</f>
        <v>O4.b</v>
      </c>
    </row>
    <row r="182" spans="1:6" ht="14.25" x14ac:dyDescent="0.2">
      <c r="A182" s="5" t="s">
        <v>234</v>
      </c>
      <c r="B182" s="6">
        <f>VLOOKUP(A182,'Exported Results'!A$162:D$281,4,FALSE)</f>
        <v>25.260919570922852</v>
      </c>
      <c r="C182" s="6">
        <f t="shared" si="4"/>
        <v>25.260919570922852</v>
      </c>
      <c r="D182" s="3" t="str">
        <f>VLOOKUP(A182,'Exported Results'!A$162:D$281,2,FALSE)</f>
        <v>O4.c</v>
      </c>
    </row>
    <row r="183" spans="1:6" ht="14.25" x14ac:dyDescent="0.2">
      <c r="A183" s="5" t="s">
        <v>235</v>
      </c>
      <c r="B183" s="6">
        <f>VLOOKUP(A183,'Exported Results'!A$162:D$281,4,FALSE)</f>
        <v>25.281631469726563</v>
      </c>
      <c r="C183" s="6">
        <f t="shared" si="4"/>
        <v>25.281631469726563</v>
      </c>
      <c r="D183" s="3" t="str">
        <f>VLOOKUP(A183,'Exported Results'!A$162:D$281,2,FALSE)</f>
        <v>O5.a</v>
      </c>
      <c r="E183" s="14">
        <f>AVERAGE(C183:C185)</f>
        <v>25.329285621643066</v>
      </c>
      <c r="F183">
        <f>_xlfn.STDEV.P(C183:C185)</f>
        <v>4.7654151916503906E-2</v>
      </c>
    </row>
    <row r="184" spans="1:6" ht="14.25" x14ac:dyDescent="0.2">
      <c r="A184" s="5" t="s">
        <v>236</v>
      </c>
      <c r="B184" s="6">
        <f>VLOOKUP(A184,'Exported Results'!A$162:D$281,4,FALSE)</f>
        <v>25.37693977355957</v>
      </c>
      <c r="C184" s="6">
        <f t="shared" si="4"/>
        <v>25.37693977355957</v>
      </c>
      <c r="D184" s="3" t="str">
        <f>VLOOKUP(A184,'Exported Results'!A$162:D$281,2,FALSE)</f>
        <v>O5.b</v>
      </c>
    </row>
    <row r="185" spans="1:6" ht="14.25" x14ac:dyDescent="0.2">
      <c r="A185" s="5" t="s">
        <v>237</v>
      </c>
      <c r="B185" s="6">
        <f>VLOOKUP(A185,'Exported Results'!A$162:D$281,4,FALSE)</f>
        <v>24.037630081176758</v>
      </c>
      <c r="C185" s="7"/>
      <c r="D185" s="3" t="str">
        <f>VLOOKUP(A185,'Exported Results'!A$162:D$281,2,FALSE)</f>
        <v>O5.c</v>
      </c>
    </row>
    <row r="186" spans="1:6" ht="14.25" x14ac:dyDescent="0.2">
      <c r="A186" s="5" t="s">
        <v>238</v>
      </c>
      <c r="B186" s="6">
        <f>VLOOKUP(A186,'Exported Results'!A$162:D$281,4,FALSE)</f>
        <v>24.449542999267578</v>
      </c>
      <c r="C186" s="7"/>
      <c r="D186" s="3" t="str">
        <f>VLOOKUP(A186,'Exported Results'!A$162:D$281,2,FALSE)</f>
        <v>O6.a</v>
      </c>
      <c r="E186" s="14">
        <f>AVERAGE(C186:C188)</f>
        <v>25.164756774902344</v>
      </c>
      <c r="F186">
        <f>_xlfn.STDEV.P(C186:C188)</f>
        <v>3.9157867431640625E-2</v>
      </c>
    </row>
    <row r="187" spans="1:6" ht="14.25" x14ac:dyDescent="0.2">
      <c r="A187" s="5" t="s">
        <v>239</v>
      </c>
      <c r="B187" s="6">
        <f>VLOOKUP(A187,'Exported Results'!A$162:D$281,4,FALSE)</f>
        <v>25.125598907470703</v>
      </c>
      <c r="C187" s="6">
        <f t="shared" si="4"/>
        <v>25.125598907470703</v>
      </c>
      <c r="D187" s="3" t="str">
        <f>VLOOKUP(A187,'Exported Results'!A$162:D$281,2,FALSE)</f>
        <v>O6.b</v>
      </c>
    </row>
    <row r="188" spans="1:6" ht="14.25" x14ac:dyDescent="0.2">
      <c r="A188" s="5" t="s">
        <v>240</v>
      </c>
      <c r="B188" s="6">
        <f>VLOOKUP(A188,'Exported Results'!A$162:D$281,4,FALSE)</f>
        <v>25.203914642333984</v>
      </c>
      <c r="C188" s="6">
        <f t="shared" si="4"/>
        <v>25.203914642333984</v>
      </c>
      <c r="D188" s="3" t="str">
        <f>VLOOKUP(A188,'Exported Results'!A$162:D$281,2,FALSE)</f>
        <v>O6.c</v>
      </c>
    </row>
    <row r="189" spans="1:6" ht="14.25" x14ac:dyDescent="0.2">
      <c r="A189" s="5" t="s">
        <v>241</v>
      </c>
      <c r="B189" s="6">
        <f>VLOOKUP(A189,'Exported Results'!A$162:D$281,4,FALSE)</f>
        <v>25.522581100463867</v>
      </c>
      <c r="C189" s="6">
        <f t="shared" si="4"/>
        <v>25.522581100463867</v>
      </c>
      <c r="D189" s="3" t="str">
        <f>VLOOKUP(A189,'Exported Results'!A$162:D$281,2,FALSE)</f>
        <v>O7.a</v>
      </c>
      <c r="E189" s="14">
        <f>AVERAGE(C189:C191)</f>
        <v>25.298236211140949</v>
      </c>
      <c r="F189">
        <f>_xlfn.STDEV.P(C189:C191)</f>
        <v>0.18800748022444505</v>
      </c>
    </row>
    <row r="190" spans="1:6" ht="14.25" x14ac:dyDescent="0.2">
      <c r="A190" s="5" t="s">
        <v>242</v>
      </c>
      <c r="B190" s="6">
        <f>VLOOKUP(A190,'Exported Results'!A$162:D$281,4,FALSE)</f>
        <v>25.30964469909668</v>
      </c>
      <c r="C190" s="6">
        <f t="shared" si="4"/>
        <v>25.30964469909668</v>
      </c>
      <c r="D190" s="3" t="str">
        <f>VLOOKUP(A190,'Exported Results'!A$162:D$281,2,FALSE)</f>
        <v>O7.b</v>
      </c>
    </row>
    <row r="191" spans="1:6" ht="14.25" x14ac:dyDescent="0.2">
      <c r="A191" s="5" t="s">
        <v>243</v>
      </c>
      <c r="B191" s="6">
        <f>VLOOKUP(A191,'Exported Results'!A$162:D$281,4,FALSE)</f>
        <v>25.062482833862305</v>
      </c>
      <c r="C191" s="6">
        <f t="shared" si="4"/>
        <v>25.062482833862305</v>
      </c>
      <c r="D191" s="3" t="str">
        <f>VLOOKUP(A191,'Exported Results'!A$162:D$281,2,FALSE)</f>
        <v>O7.c</v>
      </c>
    </row>
    <row r="192" spans="1:6" ht="14.25" x14ac:dyDescent="0.2">
      <c r="A192" s="5" t="s">
        <v>244</v>
      </c>
      <c r="B192" s="6">
        <f>VLOOKUP(A192,'Exported Results'!A$162:D$281,4,FALSE)</f>
        <v>25.06903076171875</v>
      </c>
      <c r="C192" s="6">
        <f t="shared" si="4"/>
        <v>25.06903076171875</v>
      </c>
      <c r="D192" s="3" t="str">
        <f>VLOOKUP(A192,'Exported Results'!A$162:D$281,2,FALSE)</f>
        <v>O8.a</v>
      </c>
      <c r="E192" s="14">
        <f>AVERAGE(C192:C194)</f>
        <v>24.37191104888916</v>
      </c>
      <c r="F192">
        <f>_xlfn.STDEV.P(C192:C194)</f>
        <v>0.69711971282958984</v>
      </c>
    </row>
    <row r="193" spans="1:6" ht="14.25" x14ac:dyDescent="0.2">
      <c r="A193" s="5" t="s">
        <v>245</v>
      </c>
      <c r="B193" s="6" t="str">
        <f>VLOOKUP(A193,'Exported Results'!A$162:D$281,4,FALSE)</f>
        <v>Undetermined</v>
      </c>
      <c r="C193" s="7"/>
      <c r="D193" s="3" t="str">
        <f>VLOOKUP(A193,'Exported Results'!A$162:D$281,2,FALSE)</f>
        <v>O8.b</v>
      </c>
    </row>
    <row r="194" spans="1:6" ht="14.25" x14ac:dyDescent="0.2">
      <c r="A194" s="5" t="s">
        <v>246</v>
      </c>
      <c r="B194" s="6">
        <f>VLOOKUP(A194,'Exported Results'!A$162:D$281,4,FALSE)</f>
        <v>23.67479133605957</v>
      </c>
      <c r="C194" s="6">
        <f t="shared" si="4"/>
        <v>23.67479133605957</v>
      </c>
      <c r="D194" s="3" t="str">
        <f>VLOOKUP(A194,'Exported Results'!A$162:D$281,2,FALSE)</f>
        <v>O8.c</v>
      </c>
    </row>
    <row r="195" spans="1:6" ht="14.25" x14ac:dyDescent="0.2">
      <c r="A195" s="5" t="s">
        <v>247</v>
      </c>
      <c r="B195" s="6">
        <f>VLOOKUP(A195,'Exported Results'!A$162:D$281,4,FALSE)</f>
        <v>25.127985000610352</v>
      </c>
      <c r="C195" s="6">
        <f t="shared" si="4"/>
        <v>25.127985000610352</v>
      </c>
      <c r="D195" s="3" t="str">
        <f>VLOOKUP(A195,'Exported Results'!A$162:D$281,2,FALSE)</f>
        <v>O9.a</v>
      </c>
      <c r="E195" s="14">
        <f>AVERAGE(C195:C197)</f>
        <v>25.110366821289063</v>
      </c>
      <c r="F195">
        <f>_xlfn.STDEV.P(C195:C197)</f>
        <v>0.11084620184498317</v>
      </c>
    </row>
    <row r="196" spans="1:6" ht="14.25" x14ac:dyDescent="0.2">
      <c r="A196" s="5" t="s">
        <v>248</v>
      </c>
      <c r="B196" s="6">
        <f>VLOOKUP(A196,'Exported Results'!A$162:D$281,4,FALSE)</f>
        <v>24.966659545898438</v>
      </c>
      <c r="C196" s="6">
        <f t="shared" ref="C196:C259" si="5">IF(B196="Undetermined",40.1,B196)</f>
        <v>24.966659545898438</v>
      </c>
      <c r="D196" s="3" t="str">
        <f>VLOOKUP(A196,'Exported Results'!A$162:D$281,2,FALSE)</f>
        <v>O9.b</v>
      </c>
    </row>
    <row r="197" spans="1:6" ht="14.25" x14ac:dyDescent="0.2">
      <c r="A197" s="5" t="s">
        <v>249</v>
      </c>
      <c r="B197" s="6">
        <f>VLOOKUP(A197,'Exported Results'!A$162:D$281,4,FALSE)</f>
        <v>25.236455917358398</v>
      </c>
      <c r="C197" s="6">
        <f t="shared" si="5"/>
        <v>25.236455917358398</v>
      </c>
      <c r="D197" s="3" t="str">
        <f>VLOOKUP(A197,'Exported Results'!A$162:D$281,2,FALSE)</f>
        <v>O9.c</v>
      </c>
    </row>
    <row r="198" spans="1:6" ht="14.25" x14ac:dyDescent="0.2">
      <c r="A198" s="5" t="s">
        <v>250</v>
      </c>
      <c r="B198" s="6">
        <f>VLOOKUP(A198,'Exported Results'!A$162:D$281,4,FALSE)</f>
        <v>25.222410202026367</v>
      </c>
      <c r="C198" s="6">
        <f t="shared" si="5"/>
        <v>25.222410202026367</v>
      </c>
      <c r="D198" s="3" t="str">
        <f>VLOOKUP(A198,'Exported Results'!A$162:D$281,2,FALSE)</f>
        <v>P1.a</v>
      </c>
      <c r="E198" s="14">
        <f>AVERAGE(C198:C200)</f>
        <v>25.088260650634766</v>
      </c>
      <c r="F198">
        <f>_xlfn.STDEV.P(C198:C200)</f>
        <v>0.13414955139160156</v>
      </c>
    </row>
    <row r="199" spans="1:6" ht="14.25" x14ac:dyDescent="0.2">
      <c r="A199" s="5" t="s">
        <v>251</v>
      </c>
      <c r="B199" s="6">
        <f>VLOOKUP(A199,'Exported Results'!A$162:D$281,4,FALSE)</f>
        <v>25.595695495605469</v>
      </c>
      <c r="C199" s="7"/>
      <c r="D199" s="3" t="str">
        <f>VLOOKUP(A199,'Exported Results'!A$162:D$281,2,FALSE)</f>
        <v>P1.b</v>
      </c>
    </row>
    <row r="200" spans="1:6" ht="14.25" x14ac:dyDescent="0.2">
      <c r="A200" s="5" t="s">
        <v>252</v>
      </c>
      <c r="B200" s="6">
        <f>VLOOKUP(A200,'Exported Results'!A$162:D$281,4,FALSE)</f>
        <v>24.954111099243164</v>
      </c>
      <c r="C200" s="6">
        <f t="shared" si="5"/>
        <v>24.954111099243164</v>
      </c>
      <c r="D200" s="3" t="str">
        <f>VLOOKUP(A200,'Exported Results'!A$162:D$281,2,FALSE)</f>
        <v>P1.c</v>
      </c>
    </row>
    <row r="201" spans="1:6" ht="14.25" x14ac:dyDescent="0.2">
      <c r="A201" s="5" t="s">
        <v>253</v>
      </c>
      <c r="B201" s="6">
        <f>VLOOKUP(A201,'Exported Results'!A$162:D$281,4,FALSE)</f>
        <v>25.477012634277344</v>
      </c>
      <c r="C201" s="6">
        <f t="shared" si="5"/>
        <v>25.477012634277344</v>
      </c>
      <c r="D201" s="3" t="str">
        <f>VLOOKUP(A201,'Exported Results'!A$162:D$281,2,FALSE)</f>
        <v>P2.a</v>
      </c>
      <c r="E201" s="14">
        <f>AVERAGE(C201:C203)</f>
        <v>25.360666910807293</v>
      </c>
      <c r="F201">
        <f>_xlfn.STDEV.P(C201:C203)</f>
        <v>8.2722941819391022E-2</v>
      </c>
    </row>
    <row r="202" spans="1:6" ht="14.25" x14ac:dyDescent="0.2">
      <c r="A202" s="5" t="s">
        <v>254</v>
      </c>
      <c r="B202" s="6">
        <f>VLOOKUP(A202,'Exported Results'!A$162:D$281,4,FALSE)</f>
        <v>25.291893005371094</v>
      </c>
      <c r="C202" s="6">
        <f t="shared" si="5"/>
        <v>25.291893005371094</v>
      </c>
      <c r="D202" s="3" t="str">
        <f>VLOOKUP(A202,'Exported Results'!A$162:D$281,2,FALSE)</f>
        <v>P2.b</v>
      </c>
    </row>
    <row r="203" spans="1:6" ht="14.25" x14ac:dyDescent="0.2">
      <c r="A203" s="5" t="s">
        <v>255</v>
      </c>
      <c r="B203" s="6">
        <f>VLOOKUP(A203,'Exported Results'!A$162:D$281,4,FALSE)</f>
        <v>25.313095092773438</v>
      </c>
      <c r="C203" s="6">
        <f t="shared" si="5"/>
        <v>25.313095092773438</v>
      </c>
      <c r="D203" s="3" t="str">
        <f>VLOOKUP(A203,'Exported Results'!A$162:D$281,2,FALSE)</f>
        <v>P2.c</v>
      </c>
    </row>
    <row r="204" spans="1:6" ht="14.25" x14ac:dyDescent="0.2">
      <c r="A204" s="5" t="s">
        <v>256</v>
      </c>
      <c r="B204" s="6">
        <f>VLOOKUP(A204,'Exported Results'!A$162:D$281,4,FALSE)</f>
        <v>25.502960205078125</v>
      </c>
      <c r="C204" s="6">
        <f t="shared" si="5"/>
        <v>25.502960205078125</v>
      </c>
      <c r="D204" s="3" t="str">
        <f>VLOOKUP(A204,'Exported Results'!A$162:D$281,2,FALSE)</f>
        <v>P3.a</v>
      </c>
      <c r="E204" s="14">
        <f>AVERAGE(C204:C206)</f>
        <v>26.282636642456055</v>
      </c>
      <c r="F204">
        <f>_xlfn.STDEV.P(C204:C206)</f>
        <v>0.77967643737792969</v>
      </c>
    </row>
    <row r="205" spans="1:6" ht="14.25" x14ac:dyDescent="0.2">
      <c r="A205" s="5" t="s">
        <v>257</v>
      </c>
      <c r="B205" s="6">
        <f>VLOOKUP(A205,'Exported Results'!A$162:D$281,4,FALSE)</f>
        <v>16.090608596801758</v>
      </c>
      <c r="C205" s="7"/>
      <c r="D205" s="3" t="str">
        <f>VLOOKUP(A205,'Exported Results'!A$162:D$281,2,FALSE)</f>
        <v>P3.b</v>
      </c>
    </row>
    <row r="206" spans="1:6" ht="14.25" x14ac:dyDescent="0.2">
      <c r="A206" s="5" t="s">
        <v>258</v>
      </c>
      <c r="B206" s="6">
        <f>VLOOKUP(A206,'Exported Results'!A$162:D$281,4,FALSE)</f>
        <v>27.062313079833984</v>
      </c>
      <c r="C206" s="6">
        <f t="shared" si="5"/>
        <v>27.062313079833984</v>
      </c>
      <c r="D206" s="3" t="str">
        <f>VLOOKUP(A206,'Exported Results'!A$162:D$281,2,FALSE)</f>
        <v>P3.c</v>
      </c>
    </row>
    <row r="207" spans="1:6" ht="14.25" x14ac:dyDescent="0.2">
      <c r="A207" s="5" t="s">
        <v>259</v>
      </c>
      <c r="B207" s="6">
        <f>VLOOKUP(A207,'Exported Results'!A$162:D$281,4,FALSE)</f>
        <v>25.704854965209961</v>
      </c>
      <c r="C207" s="6">
        <f t="shared" si="5"/>
        <v>25.704854965209961</v>
      </c>
      <c r="D207" s="3" t="str">
        <f>VLOOKUP(A207,'Exported Results'!A$162:D$281,2,FALSE)</f>
        <v>P4.a</v>
      </c>
      <c r="E207" s="14">
        <f>AVERAGE(C207:C209)</f>
        <v>25.553367614746094</v>
      </c>
      <c r="F207">
        <f>_xlfn.STDEV.P(C207:C209)</f>
        <v>0.15148735046386719</v>
      </c>
    </row>
    <row r="208" spans="1:6" ht="14.25" x14ac:dyDescent="0.2">
      <c r="A208" s="5" t="s">
        <v>260</v>
      </c>
      <c r="B208" s="6">
        <f>VLOOKUP(A208,'Exported Results'!A$162:D$281,4,FALSE)</f>
        <v>25.401880264282227</v>
      </c>
      <c r="C208" s="6">
        <f t="shared" si="5"/>
        <v>25.401880264282227</v>
      </c>
      <c r="D208" s="3" t="str">
        <f>VLOOKUP(A208,'Exported Results'!A$162:D$281,2,FALSE)</f>
        <v>P4.b</v>
      </c>
    </row>
    <row r="209" spans="1:6" ht="14.25" x14ac:dyDescent="0.2">
      <c r="A209" s="5" t="s">
        <v>261</v>
      </c>
      <c r="B209" s="6">
        <f>VLOOKUP(A209,'Exported Results'!A$162:D$281,4,FALSE)</f>
        <v>24.298040390014648</v>
      </c>
      <c r="C209" s="7"/>
      <c r="D209" s="3" t="str">
        <f>VLOOKUP(A209,'Exported Results'!A$162:D$281,2,FALSE)</f>
        <v>P4.c</v>
      </c>
    </row>
    <row r="210" spans="1:6" ht="14.25" x14ac:dyDescent="0.2">
      <c r="A210" s="5" t="s">
        <v>262</v>
      </c>
      <c r="B210" s="6">
        <f>VLOOKUP(A210,'Exported Results'!A$162:D$281,4,FALSE)</f>
        <v>24.176250457763672</v>
      </c>
      <c r="C210" s="7"/>
      <c r="D210" s="3" t="str">
        <f>VLOOKUP(A210,'Exported Results'!A$162:D$281,2,FALSE)</f>
        <v>P5.a</v>
      </c>
      <c r="E210" s="14">
        <f>AVERAGE(C210:C212)</f>
        <v>25.343601226806641</v>
      </c>
      <c r="F210">
        <f>_xlfn.STDEV.P(C210:C212)</f>
        <v>5.0907135009765625E-3</v>
      </c>
    </row>
    <row r="211" spans="1:6" ht="14.25" x14ac:dyDescent="0.2">
      <c r="A211" s="5" t="s">
        <v>263</v>
      </c>
      <c r="B211" s="6">
        <f>VLOOKUP(A211,'Exported Results'!A$162:D$281,4,FALSE)</f>
        <v>25.348691940307617</v>
      </c>
      <c r="C211" s="6">
        <f t="shared" si="5"/>
        <v>25.348691940307617</v>
      </c>
      <c r="D211" s="3" t="str">
        <f>VLOOKUP(A211,'Exported Results'!A$162:D$281,2,FALSE)</f>
        <v>P5.b</v>
      </c>
    </row>
    <row r="212" spans="1:6" ht="14.25" x14ac:dyDescent="0.2">
      <c r="A212" s="5" t="s">
        <v>264</v>
      </c>
      <c r="B212" s="6">
        <f>VLOOKUP(A212,'Exported Results'!A$162:D$281,4,FALSE)</f>
        <v>25.338510513305664</v>
      </c>
      <c r="C212" s="6">
        <f t="shared" si="5"/>
        <v>25.338510513305664</v>
      </c>
      <c r="D212" s="3" t="str">
        <f>VLOOKUP(A212,'Exported Results'!A$162:D$281,2,FALSE)</f>
        <v>P5.c</v>
      </c>
    </row>
    <row r="213" spans="1:6" ht="14.25" x14ac:dyDescent="0.2">
      <c r="A213" s="5" t="s">
        <v>265</v>
      </c>
      <c r="B213" s="6">
        <f>VLOOKUP(A213,'Exported Results'!A$162:D$281,4,FALSE)</f>
        <v>25.921611785888672</v>
      </c>
      <c r="C213" s="6">
        <f t="shared" si="5"/>
        <v>25.921611785888672</v>
      </c>
      <c r="D213" s="3" t="str">
        <f>VLOOKUP(A213,'Exported Results'!A$162:D$281,2,FALSE)</f>
        <v>P6.a</v>
      </c>
      <c r="E213" s="14">
        <f>AVERAGE(C213:C215)</f>
        <v>25.430490493774414</v>
      </c>
      <c r="F213">
        <f>_xlfn.STDEV.P(C213:C215)</f>
        <v>0.37502266300153136</v>
      </c>
    </row>
    <row r="214" spans="1:6" ht="14.25" x14ac:dyDescent="0.2">
      <c r="A214" s="5" t="s">
        <v>266</v>
      </c>
      <c r="B214" s="6">
        <f>VLOOKUP(A214,'Exported Results'!A$162:D$281,4,FALSE)</f>
        <v>25.358316421508789</v>
      </c>
      <c r="C214" s="6">
        <f t="shared" si="5"/>
        <v>25.358316421508789</v>
      </c>
      <c r="D214" s="3" t="str">
        <f>VLOOKUP(A214,'Exported Results'!A$162:D$281,2,FALSE)</f>
        <v>P6.b</v>
      </c>
    </row>
    <row r="215" spans="1:6" ht="14.25" x14ac:dyDescent="0.2">
      <c r="A215" s="5" t="s">
        <v>267</v>
      </c>
      <c r="B215" s="6">
        <f>VLOOKUP(A215,'Exported Results'!A$162:D$281,4,FALSE)</f>
        <v>25.011543273925781</v>
      </c>
      <c r="C215" s="6">
        <f t="shared" si="5"/>
        <v>25.011543273925781</v>
      </c>
      <c r="D215" s="3" t="str">
        <f>VLOOKUP(A215,'Exported Results'!A$162:D$281,2,FALSE)</f>
        <v>P6.c</v>
      </c>
    </row>
    <row r="216" spans="1:6" ht="14.25" x14ac:dyDescent="0.2">
      <c r="A216" s="5" t="s">
        <v>268</v>
      </c>
      <c r="B216" s="6">
        <f>VLOOKUP(A216,'Exported Results'!A$162:D$281,4,FALSE)</f>
        <v>25.360671997070313</v>
      </c>
      <c r="C216" s="6">
        <f t="shared" si="5"/>
        <v>25.360671997070313</v>
      </c>
      <c r="D216" s="3" t="str">
        <f>VLOOKUP(A216,'Exported Results'!A$162:D$281,2,FALSE)</f>
        <v>P7.a</v>
      </c>
      <c r="E216" s="14">
        <f>AVERAGE(C216:C218)</f>
        <v>24.927841186523438</v>
      </c>
      <c r="F216">
        <f>_xlfn.STDEV.P(C216:C218)</f>
        <v>0.432830810546875</v>
      </c>
    </row>
    <row r="217" spans="1:6" ht="14.25" x14ac:dyDescent="0.2">
      <c r="A217" s="5" t="s">
        <v>269</v>
      </c>
      <c r="B217" s="6" t="str">
        <f>VLOOKUP(A217,'Exported Results'!A$162:D$281,4,FALSE)</f>
        <v>Undetermined</v>
      </c>
      <c r="C217" s="7"/>
      <c r="D217" s="3" t="str">
        <f>VLOOKUP(A217,'Exported Results'!A$162:D$281,2,FALSE)</f>
        <v>P7.b</v>
      </c>
    </row>
    <row r="218" spans="1:6" ht="14.25" x14ac:dyDescent="0.2">
      <c r="A218" s="5" t="s">
        <v>270</v>
      </c>
      <c r="B218" s="6">
        <f>VLOOKUP(A218,'Exported Results'!A$162:D$281,4,FALSE)</f>
        <v>24.495010375976563</v>
      </c>
      <c r="C218" s="6">
        <f t="shared" si="5"/>
        <v>24.495010375976563</v>
      </c>
      <c r="D218" s="3" t="str">
        <f>VLOOKUP(A218,'Exported Results'!A$162:D$281,2,FALSE)</f>
        <v>P7.c</v>
      </c>
    </row>
    <row r="219" spans="1:6" ht="14.25" x14ac:dyDescent="0.2">
      <c r="A219" s="5" t="s">
        <v>271</v>
      </c>
      <c r="B219" s="6">
        <f>VLOOKUP(A219,'Exported Results'!A$162:D$281,4,FALSE)</f>
        <v>25.359048843383789</v>
      </c>
      <c r="C219" s="6">
        <f t="shared" si="5"/>
        <v>25.359048843383789</v>
      </c>
      <c r="D219" s="3" t="str">
        <f>VLOOKUP(A219,'Exported Results'!A$162:D$281,2,FALSE)</f>
        <v>P8.a</v>
      </c>
      <c r="E219" s="14">
        <f>AVERAGE(C219:C221)</f>
        <v>25.325192769368488</v>
      </c>
      <c r="F219">
        <f>_xlfn.STDEV.P(C219:C221)</f>
        <v>3.0766955957217446E-2</v>
      </c>
    </row>
    <row r="220" spans="1:6" ht="14.25" x14ac:dyDescent="0.2">
      <c r="A220" s="5" t="s">
        <v>272</v>
      </c>
      <c r="B220" s="6">
        <f>VLOOKUP(A220,'Exported Results'!A$162:D$281,4,FALSE)</f>
        <v>25.284595489501953</v>
      </c>
      <c r="C220" s="6">
        <f t="shared" si="5"/>
        <v>25.284595489501953</v>
      </c>
      <c r="D220" s="3" t="str">
        <f>VLOOKUP(A220,'Exported Results'!A$162:D$281,2,FALSE)</f>
        <v>P8.b</v>
      </c>
    </row>
    <row r="221" spans="1:6" ht="14.25" x14ac:dyDescent="0.2">
      <c r="A221" s="5" t="s">
        <v>273</v>
      </c>
      <c r="B221" s="6">
        <f>VLOOKUP(A221,'Exported Results'!A$162:D$281,4,FALSE)</f>
        <v>25.331933975219727</v>
      </c>
      <c r="C221" s="6">
        <f t="shared" si="5"/>
        <v>25.331933975219727</v>
      </c>
      <c r="D221" s="3" t="str">
        <f>VLOOKUP(A221,'Exported Results'!A$162:D$281,2,FALSE)</f>
        <v>P8.c</v>
      </c>
    </row>
    <row r="222" spans="1:6" ht="14.25" x14ac:dyDescent="0.2">
      <c r="A222" s="5" t="s">
        <v>274</v>
      </c>
      <c r="B222" s="6">
        <f>VLOOKUP(A222,'Exported Results'!A$162:D$281,4,FALSE)</f>
        <v>25.275674819946289</v>
      </c>
      <c r="C222" s="6">
        <f t="shared" si="5"/>
        <v>25.275674819946289</v>
      </c>
      <c r="D222" s="3" t="str">
        <f>VLOOKUP(A222,'Exported Results'!A$162:D$281,2,FALSE)</f>
        <v>P9.a</v>
      </c>
      <c r="E222" s="14">
        <f>AVERAGE(C222:C224)</f>
        <v>25.249702453613281</v>
      </c>
      <c r="F222">
        <f>_xlfn.STDEV.P(C222:C224)</f>
        <v>0.11619549105464805</v>
      </c>
    </row>
    <row r="223" spans="1:6" ht="14.25" x14ac:dyDescent="0.2">
      <c r="A223" s="5" t="s">
        <v>275</v>
      </c>
      <c r="B223" s="6">
        <f>VLOOKUP(A223,'Exported Results'!A$162:D$281,4,FALSE)</f>
        <v>25.377237319946289</v>
      </c>
      <c r="C223" s="6">
        <f t="shared" si="5"/>
        <v>25.377237319946289</v>
      </c>
      <c r="D223" s="3" t="str">
        <f>VLOOKUP(A223,'Exported Results'!A$162:D$281,2,FALSE)</f>
        <v>P9.b</v>
      </c>
    </row>
    <row r="224" spans="1:6" ht="14.25" x14ac:dyDescent="0.2">
      <c r="A224" s="5" t="s">
        <v>276</v>
      </c>
      <c r="B224" s="6">
        <f>VLOOKUP(A224,'Exported Results'!A$162:D$281,4,FALSE)</f>
        <v>25.096195220947266</v>
      </c>
      <c r="C224" s="6">
        <f t="shared" si="5"/>
        <v>25.096195220947266</v>
      </c>
      <c r="D224" s="3" t="str">
        <f>VLOOKUP(A224,'Exported Results'!A$162:D$281,2,FALSE)</f>
        <v>P9.c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5"/>
        <v>40.1</v>
      </c>
      <c r="D225" s="3" t="str">
        <f>VLOOKUP(A225,'Exported Results'!A$162:D$281,2,FALSE)</f>
        <v/>
      </c>
      <c r="E225" s="14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5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5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5"/>
        <v>40.1</v>
      </c>
      <c r="D228" s="3" t="str">
        <f>VLOOKUP(A228,'Exported Results'!A$162:D$281,2,FALSE)</f>
        <v/>
      </c>
      <c r="E228" s="14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5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5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5"/>
        <v>40.1</v>
      </c>
      <c r="D231" s="3" t="str">
        <f>VLOOKUP(A231,'Exported Results'!A$162:D$281,2,FALSE)</f>
        <v/>
      </c>
      <c r="E231" s="14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5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5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5"/>
        <v>40.1</v>
      </c>
      <c r="D234" s="3" t="str">
        <f>VLOOKUP(A234,'Exported Results'!A$162:D$281,2,FALSE)</f>
        <v/>
      </c>
      <c r="E234" s="14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5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5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5"/>
        <v>40.1</v>
      </c>
      <c r="D237" s="3" t="str">
        <f>VLOOKUP(A237,'Exported Results'!A$162:D$281,2,FALSE)</f>
        <v/>
      </c>
      <c r="E237" s="14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5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5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5"/>
        <v>40.1</v>
      </c>
      <c r="D240" s="3" t="str">
        <f>VLOOKUP(A240,'Exported Results'!A$162:D$281,2,FALSE)</f>
        <v/>
      </c>
      <c r="E240" s="14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5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5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5"/>
        <v>40.1</v>
      </c>
      <c r="D243" s="3" t="str">
        <f>VLOOKUP(A243,'Exported Results'!A$282:D$641,2,FALSE)</f>
        <v>Blank 1.a</v>
      </c>
      <c r="E243" s="14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5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5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24.975404739379883</v>
      </c>
      <c r="C246" s="6">
        <f t="shared" si="5"/>
        <v>24.975404739379883</v>
      </c>
      <c r="D246" s="3" t="str">
        <f>VLOOKUP(A246,'Exported Results'!A$282:D$641,2,FALSE)</f>
        <v>STD 10a</v>
      </c>
      <c r="E246" s="14">
        <f>AVERAGE(C246:C248)</f>
        <v>24.888776779174805</v>
      </c>
      <c r="F246">
        <f>_xlfn.STDEV.P(C246:C248)</f>
        <v>6.7589402442859853E-2</v>
      </c>
    </row>
    <row r="247" spans="1:6" ht="14.25" x14ac:dyDescent="0.2">
      <c r="A247" s="5" t="s">
        <v>299</v>
      </c>
      <c r="B247" s="6">
        <f>VLOOKUP(A247,'Exported Results'!A$282:D645,4,FALSE)</f>
        <v>24.880451202392578</v>
      </c>
      <c r="C247" s="6">
        <f t="shared" si="5"/>
        <v>24.880451202392578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24.810474395751953</v>
      </c>
      <c r="C248" s="6">
        <f t="shared" si="5"/>
        <v>24.810474395751953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25.85667610168457</v>
      </c>
      <c r="C249" s="6">
        <f t="shared" si="5"/>
        <v>25.85667610168457</v>
      </c>
      <c r="D249" s="3" t="str">
        <f>VLOOKUP(A249,'Exported Results'!A$282:D$641,2,FALSE)</f>
        <v>STD 20a</v>
      </c>
      <c r="E249" s="14">
        <f>AVERAGE(C249:C251)</f>
        <v>25.808697382609051</v>
      </c>
      <c r="F249">
        <f>_xlfn.STDEV.P(C249:C251)</f>
        <v>9.9936059508553568E-2</v>
      </c>
    </row>
    <row r="250" spans="1:6" ht="14.25" x14ac:dyDescent="0.2">
      <c r="A250" s="5" t="s">
        <v>302</v>
      </c>
      <c r="B250" s="6">
        <f>VLOOKUP(A250,'Exported Results'!A$282:D648,4,FALSE)</f>
        <v>25.899835586547852</v>
      </c>
      <c r="C250" s="6">
        <f t="shared" si="5"/>
        <v>25.899835586547852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25.669580459594727</v>
      </c>
      <c r="C251" s="6">
        <f t="shared" si="5"/>
        <v>25.669580459594727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26.971530914306641</v>
      </c>
      <c r="C252" s="6">
        <f t="shared" si="5"/>
        <v>26.971530914306641</v>
      </c>
      <c r="D252" s="3" t="str">
        <f>VLOOKUP(A252,'Exported Results'!A$282:D$641,2,FALSE)</f>
        <v>STD 40a</v>
      </c>
      <c r="E252" s="14">
        <f>AVERAGE(C252:C254)</f>
        <v>26.983888626098633</v>
      </c>
      <c r="F252">
        <f>_xlfn.STDEV.P(C252:C254)</f>
        <v>1.2155177429788066E-2</v>
      </c>
    </row>
    <row r="253" spans="1:6" ht="14.25" x14ac:dyDescent="0.2">
      <c r="A253" s="5" t="s">
        <v>305</v>
      </c>
      <c r="B253" s="6">
        <f>VLOOKUP(A253,'Exported Results'!A$282:D651,4,FALSE)</f>
        <v>26.979719161987305</v>
      </c>
      <c r="C253" s="6">
        <f t="shared" si="5"/>
        <v>26.979719161987305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27.000415802001953</v>
      </c>
      <c r="C254" s="6">
        <f t="shared" si="5"/>
        <v>27.000415802001953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27.990291595458984</v>
      </c>
      <c r="C255" s="6">
        <f t="shared" si="5"/>
        <v>27.990291595458984</v>
      </c>
      <c r="D255" s="3" t="str">
        <f>VLOOKUP(A255,'Exported Results'!A$282:D$641,2,FALSE)</f>
        <v>STD 80a</v>
      </c>
      <c r="E255" s="14">
        <f>AVERAGE(C255:C257)</f>
        <v>27.963738123575848</v>
      </c>
      <c r="F255">
        <f>_xlfn.STDEV.P(C255:C257)</f>
        <v>0.19560313593744078</v>
      </c>
    </row>
    <row r="256" spans="1:6" ht="14.25" x14ac:dyDescent="0.2">
      <c r="A256" s="5" t="s">
        <v>308</v>
      </c>
      <c r="B256" s="6">
        <f>VLOOKUP(A256,'Exported Results'!A$282:D654,4,FALSE)</f>
        <v>28.188919067382813</v>
      </c>
      <c r="C256" s="6">
        <f t="shared" si="5"/>
        <v>28.188919067382813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27.712003707885742</v>
      </c>
      <c r="C257" s="6">
        <f t="shared" si="5"/>
        <v>27.712003707885742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29.026042938232422</v>
      </c>
      <c r="C258" s="6">
        <f t="shared" si="5"/>
        <v>29.026042938232422</v>
      </c>
      <c r="D258" s="3" t="str">
        <f>VLOOKUP(A258,'Exported Results'!A$282:D$641,2,FALSE)</f>
        <v>STD 160a</v>
      </c>
      <c r="E258" s="14">
        <f>AVERAGE(C258:C260)</f>
        <v>29.043430964152019</v>
      </c>
      <c r="F258">
        <f>_xlfn.STDEV.P(C258:C260)</f>
        <v>3.0742026764858502E-2</v>
      </c>
    </row>
    <row r="259" spans="1:6" ht="14.25" x14ac:dyDescent="0.2">
      <c r="A259" s="5" t="s">
        <v>311</v>
      </c>
      <c r="B259" s="6">
        <f>VLOOKUP(A259,'Exported Results'!A$282:D657,4,FALSE)</f>
        <v>29.017616271972656</v>
      </c>
      <c r="C259" s="6">
        <f t="shared" si="5"/>
        <v>29.017616271972656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29.086633682250977</v>
      </c>
      <c r="C260" s="6">
        <f t="shared" ref="C260:C323" si="6">IF(B260="Undetermined",40.1,B260)</f>
        <v>29.086633682250977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30.319162368774414</v>
      </c>
      <c r="C261" s="6">
        <f t="shared" si="6"/>
        <v>30.319162368774414</v>
      </c>
      <c r="D261" s="3" t="str">
        <f>VLOOKUP(A261,'Exported Results'!A$282:D$641,2,FALSE)</f>
        <v>STD 320a</v>
      </c>
      <c r="E261" s="14">
        <f>AVERAGE(C261:C263)</f>
        <v>30.318076451619465</v>
      </c>
      <c r="F261">
        <f>_xlfn.STDEV.P(C261:C263)</f>
        <v>9.6718760011187219E-2</v>
      </c>
    </row>
    <row r="262" spans="1:6" ht="14.25" x14ac:dyDescent="0.2">
      <c r="A262" s="5" t="s">
        <v>314</v>
      </c>
      <c r="B262" s="6">
        <f>VLOOKUP(A262,'Exported Results'!A$282:D660,4,FALSE)</f>
        <v>30.199081420898438</v>
      </c>
      <c r="C262" s="6">
        <f t="shared" si="6"/>
        <v>30.199081420898438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30.435985565185547</v>
      </c>
      <c r="C263" s="6">
        <f t="shared" si="6"/>
        <v>30.435985565185547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26.915658950805664</v>
      </c>
      <c r="C264" s="6">
        <f t="shared" si="6"/>
        <v>26.915658950805664</v>
      </c>
      <c r="D264" s="3" t="str">
        <f>VLOOKUP(A264,'Exported Results'!A$282:D$641,2,FALSE)</f>
        <v>C1.a</v>
      </c>
      <c r="E264" s="14">
        <f>AVERAGE(C264:C266)</f>
        <v>26.974547704060871</v>
      </c>
      <c r="F264">
        <f>_xlfn.STDEV.P(C264:C266)</f>
        <v>5.3923993964325977E-2</v>
      </c>
    </row>
    <row r="265" spans="1:6" ht="14.25" x14ac:dyDescent="0.2">
      <c r="A265" s="5" t="s">
        <v>317</v>
      </c>
      <c r="B265" s="6">
        <f>VLOOKUP(A265,'Exported Results'!A$282:D663,4,FALSE)</f>
        <v>27.045953750610352</v>
      </c>
      <c r="C265" s="6">
        <f t="shared" si="6"/>
        <v>27.045953750610352</v>
      </c>
      <c r="D265" s="3" t="str">
        <f>VLOOKUP(A265,'Exported Results'!A$282:D$641,2,FALSE)</f>
        <v>C1.b</v>
      </c>
    </row>
    <row r="266" spans="1:6" ht="14.25" x14ac:dyDescent="0.2">
      <c r="A266" s="5" t="s">
        <v>318</v>
      </c>
      <c r="B266" s="6">
        <f>VLOOKUP(A266,'Exported Results'!A$282:D664,4,FALSE)</f>
        <v>26.962030410766602</v>
      </c>
      <c r="C266" s="6">
        <f t="shared" si="6"/>
        <v>26.962030410766602</v>
      </c>
      <c r="D266" s="3" t="str">
        <f>VLOOKUP(A266,'Exported Results'!A$282:D$641,2,FALSE)</f>
        <v>C1.c</v>
      </c>
    </row>
    <row r="267" spans="1:6" ht="14.25" x14ac:dyDescent="0.2">
      <c r="A267" s="5" t="s">
        <v>319</v>
      </c>
      <c r="B267" s="6">
        <f>VLOOKUP(A267,'Exported Results'!A$282:D665,4,FALSE)</f>
        <v>27.305580139160156</v>
      </c>
      <c r="C267" s="6">
        <f t="shared" si="6"/>
        <v>27.305580139160156</v>
      </c>
      <c r="D267" s="3" t="str">
        <f>VLOOKUP(A267,'Exported Results'!A$282:D$641,2,FALSE)</f>
        <v>C2.a</v>
      </c>
      <c r="E267" s="14">
        <f>AVERAGE(C267:C269)</f>
        <v>27.274739583333332</v>
      </c>
      <c r="F267">
        <f>_xlfn.STDEV.P(C267:C269)</f>
        <v>5.3103723340444997E-2</v>
      </c>
    </row>
    <row r="268" spans="1:6" ht="14.25" x14ac:dyDescent="0.2">
      <c r="A268" s="5" t="s">
        <v>320</v>
      </c>
      <c r="B268" s="6">
        <f>VLOOKUP(A268,'Exported Results'!A$282:D666,4,FALSE)</f>
        <v>27.318620681762695</v>
      </c>
      <c r="C268" s="6">
        <f t="shared" si="6"/>
        <v>27.318620681762695</v>
      </c>
      <c r="D268" s="3" t="str">
        <f>VLOOKUP(A268,'Exported Results'!A$282:D$641,2,FALSE)</f>
        <v>C2.b</v>
      </c>
    </row>
    <row r="269" spans="1:6" ht="14.25" x14ac:dyDescent="0.2">
      <c r="A269" s="5" t="s">
        <v>321</v>
      </c>
      <c r="B269" s="6">
        <f>VLOOKUP(A269,'Exported Results'!A$282:D667,4,FALSE)</f>
        <v>27.200017929077148</v>
      </c>
      <c r="C269" s="6">
        <f t="shared" si="6"/>
        <v>27.200017929077148</v>
      </c>
      <c r="D269" s="3" t="str">
        <f>VLOOKUP(A269,'Exported Results'!A$282:D$641,2,FALSE)</f>
        <v>C2.c</v>
      </c>
    </row>
    <row r="270" spans="1:6" ht="14.25" x14ac:dyDescent="0.2">
      <c r="A270" s="5" t="s">
        <v>322</v>
      </c>
      <c r="B270" s="6">
        <f>VLOOKUP(A270,'Exported Results'!A$282:D668,4,FALSE)</f>
        <v>27.131769180297852</v>
      </c>
      <c r="C270" s="6">
        <f t="shared" si="6"/>
        <v>27.131769180297852</v>
      </c>
      <c r="D270" s="3" t="str">
        <f>VLOOKUP(A270,'Exported Results'!A$282:D$641,2,FALSE)</f>
        <v>C3.a</v>
      </c>
      <c r="E270" s="14">
        <f>AVERAGE(C270:C272)</f>
        <v>27.011938095092773</v>
      </c>
      <c r="F270">
        <f>_xlfn.STDEV.P(C270:C272)</f>
        <v>9.071680725463363E-2</v>
      </c>
    </row>
    <row r="271" spans="1:6" ht="14.25" x14ac:dyDescent="0.2">
      <c r="A271" s="5" t="s">
        <v>323</v>
      </c>
      <c r="B271" s="6">
        <f>VLOOKUP(A271,'Exported Results'!A$282:D669,4,FALSE)</f>
        <v>26.91234016418457</v>
      </c>
      <c r="C271" s="6">
        <f t="shared" si="6"/>
        <v>26.91234016418457</v>
      </c>
      <c r="D271" s="3" t="str">
        <f>VLOOKUP(A271,'Exported Results'!A$282:D$641,2,FALSE)</f>
        <v>C3.b</v>
      </c>
    </row>
    <row r="272" spans="1:6" ht="14.25" x14ac:dyDescent="0.2">
      <c r="A272" s="5" t="s">
        <v>324</v>
      </c>
      <c r="B272" s="6">
        <f>VLOOKUP(A272,'Exported Results'!A$282:D670,4,FALSE)</f>
        <v>26.991704940795898</v>
      </c>
      <c r="C272" s="6">
        <f t="shared" si="6"/>
        <v>26.991704940795898</v>
      </c>
      <c r="D272" s="3" t="str">
        <f>VLOOKUP(A272,'Exported Results'!A$282:D$641,2,FALSE)</f>
        <v>C3.c</v>
      </c>
    </row>
    <row r="273" spans="1:6" ht="14.25" x14ac:dyDescent="0.2">
      <c r="A273" s="5" t="s">
        <v>325</v>
      </c>
      <c r="B273" s="6">
        <f>VLOOKUP(A273,'Exported Results'!A$282:D671,4,FALSE)</f>
        <v>26.817050933837891</v>
      </c>
      <c r="C273" s="6">
        <f t="shared" si="6"/>
        <v>26.817050933837891</v>
      </c>
      <c r="D273" s="3" t="str">
        <f>VLOOKUP(A273,'Exported Results'!A$282:D$641,2,FALSE)</f>
        <v>C4.a</v>
      </c>
      <c r="E273" s="14">
        <f>AVERAGE(C273:C275)</f>
        <v>26.792233149210613</v>
      </c>
      <c r="F273">
        <f>_xlfn.STDEV.P(C273:C275)</f>
        <v>1.7758113844175919E-2</v>
      </c>
    </row>
    <row r="274" spans="1:6" ht="14.25" x14ac:dyDescent="0.2">
      <c r="A274" s="5" t="s">
        <v>326</v>
      </c>
      <c r="B274" s="6">
        <f>VLOOKUP(A274,'Exported Results'!A$282:D672,4,FALSE)</f>
        <v>26.776494979858398</v>
      </c>
      <c r="C274" s="6">
        <f t="shared" si="6"/>
        <v>26.776494979858398</v>
      </c>
      <c r="D274" s="3" t="str">
        <f>VLOOKUP(A274,'Exported Results'!A$282:D$641,2,FALSE)</f>
        <v>C4.b</v>
      </c>
    </row>
    <row r="275" spans="1:6" ht="14.25" x14ac:dyDescent="0.2">
      <c r="A275" s="8" t="s">
        <v>327</v>
      </c>
      <c r="B275" s="6">
        <f>VLOOKUP(A275,'Exported Results'!A$282:D673,4,FALSE)</f>
        <v>26.783153533935547</v>
      </c>
      <c r="C275" s="6">
        <f t="shared" si="6"/>
        <v>26.783153533935547</v>
      </c>
      <c r="D275" s="3" t="str">
        <f>VLOOKUP(A275,'Exported Results'!A$282:D$641,2,FALSE)</f>
        <v>C4.c</v>
      </c>
    </row>
    <row r="276" spans="1:6" ht="14.25" x14ac:dyDescent="0.2">
      <c r="A276" s="8" t="s">
        <v>328</v>
      </c>
      <c r="B276" s="6">
        <f>VLOOKUP(A276,'Exported Results'!A$282:D674,4,FALSE)</f>
        <v>26.836767196655273</v>
      </c>
      <c r="C276" s="6">
        <f t="shared" si="6"/>
        <v>26.836767196655273</v>
      </c>
      <c r="D276" s="3" t="str">
        <f>VLOOKUP(A276,'Exported Results'!A$282:D$641,2,FALSE)</f>
        <v>C5.a</v>
      </c>
      <c r="E276" s="14">
        <f>AVERAGE(C276:C278)</f>
        <v>26.78354771931966</v>
      </c>
      <c r="F276">
        <f>_xlfn.STDEV.P(C276:C278)</f>
        <v>5.1200980202426166E-2</v>
      </c>
    </row>
    <row r="277" spans="1:6" ht="14.25" x14ac:dyDescent="0.2">
      <c r="A277" s="8" t="s">
        <v>329</v>
      </c>
      <c r="B277" s="6">
        <f>VLOOKUP(A277,'Exported Results'!A$282:D675,4,FALSE)</f>
        <v>26.71441650390625</v>
      </c>
      <c r="C277" s="6">
        <f t="shared" si="6"/>
        <v>26.71441650390625</v>
      </c>
      <c r="D277" s="3" t="str">
        <f>VLOOKUP(A277,'Exported Results'!A$282:D$641,2,FALSE)</f>
        <v>C5.b</v>
      </c>
    </row>
    <row r="278" spans="1:6" ht="14.25" x14ac:dyDescent="0.2">
      <c r="A278" s="8" t="s">
        <v>330</v>
      </c>
      <c r="B278" s="6">
        <f>VLOOKUP(A278,'Exported Results'!A$282:D676,4,FALSE)</f>
        <v>26.799459457397461</v>
      </c>
      <c r="C278" s="6">
        <f t="shared" si="6"/>
        <v>26.799459457397461</v>
      </c>
      <c r="D278" s="3" t="str">
        <f>VLOOKUP(A278,'Exported Results'!A$282:D$641,2,FALSE)</f>
        <v>C5.c</v>
      </c>
    </row>
    <row r="279" spans="1:6" ht="14.25" x14ac:dyDescent="0.2">
      <c r="A279" s="8" t="s">
        <v>331</v>
      </c>
      <c r="B279" s="6">
        <f>VLOOKUP(A279,'Exported Results'!A$282:D677,4,FALSE)</f>
        <v>26.656606674194336</v>
      </c>
      <c r="C279" s="6">
        <f t="shared" si="6"/>
        <v>26.656606674194336</v>
      </c>
      <c r="D279" s="3" t="str">
        <f>VLOOKUP(A279,'Exported Results'!A$282:D$641,2,FALSE)</f>
        <v>C6.a</v>
      </c>
      <c r="E279" s="14">
        <f>AVERAGE(C279:C281)</f>
        <v>26.665008544921875</v>
      </c>
      <c r="F279">
        <f>_xlfn.STDEV.P(C279:C281)</f>
        <v>8.1606998438590577E-3</v>
      </c>
    </row>
    <row r="280" spans="1:6" ht="14.25" x14ac:dyDescent="0.2">
      <c r="A280" s="8" t="s">
        <v>332</v>
      </c>
      <c r="B280" s="6">
        <f>VLOOKUP(A280,'Exported Results'!A$282:D678,4,FALSE)</f>
        <v>26.676061630249023</v>
      </c>
      <c r="C280" s="6">
        <f t="shared" si="6"/>
        <v>26.676061630249023</v>
      </c>
      <c r="D280" s="3" t="str">
        <f>VLOOKUP(A280,'Exported Results'!A$282:D$641,2,FALSE)</f>
        <v>C6.b</v>
      </c>
    </row>
    <row r="281" spans="1:6" ht="14.25" x14ac:dyDescent="0.2">
      <c r="A281" s="8" t="s">
        <v>333</v>
      </c>
      <c r="B281" s="6">
        <f>VLOOKUP(A281,'Exported Results'!A$282:D679,4,FALSE)</f>
        <v>26.662357330322266</v>
      </c>
      <c r="C281" s="6">
        <f t="shared" si="6"/>
        <v>26.662357330322266</v>
      </c>
      <c r="D281" s="3" t="str">
        <f>VLOOKUP(A281,'Exported Results'!A$282:D$641,2,FALSE)</f>
        <v>C6.c</v>
      </c>
    </row>
    <row r="282" spans="1:6" ht="14.25" x14ac:dyDescent="0.2">
      <c r="A282" s="8" t="s">
        <v>334</v>
      </c>
      <c r="B282" s="6">
        <f>VLOOKUP(A282,'Exported Results'!A$282:D680,4,FALSE)</f>
        <v>26.902912139892578</v>
      </c>
      <c r="C282" s="6">
        <f t="shared" si="6"/>
        <v>26.902912139892578</v>
      </c>
      <c r="D282" s="3" t="str">
        <f>VLOOKUP(A282,'Exported Results'!A$282:D$641,2,FALSE)</f>
        <v>C7.a</v>
      </c>
      <c r="E282" s="14">
        <f>AVERAGE(C282:C284)</f>
        <v>26.776264190673828</v>
      </c>
      <c r="F282">
        <f>_xlfn.STDEV.P(C282:C284)</f>
        <v>9.4322715881211744E-2</v>
      </c>
    </row>
    <row r="283" spans="1:6" ht="14.25" x14ac:dyDescent="0.2">
      <c r="A283" s="8" t="s">
        <v>335</v>
      </c>
      <c r="B283" s="6">
        <f>VLOOKUP(A283,'Exported Results'!A$282:D681,4,FALSE)</f>
        <v>26.749208450317383</v>
      </c>
      <c r="C283" s="6">
        <f t="shared" si="6"/>
        <v>26.749208450317383</v>
      </c>
      <c r="D283" s="3" t="str">
        <f>VLOOKUP(A283,'Exported Results'!A$282:D$641,2,FALSE)</f>
        <v>C7.b</v>
      </c>
    </row>
    <row r="284" spans="1:6" ht="14.25" x14ac:dyDescent="0.2">
      <c r="A284" s="8" t="s">
        <v>336</v>
      </c>
      <c r="B284" s="6">
        <f>VLOOKUP(A284,'Exported Results'!A$282:D682,4,FALSE)</f>
        <v>26.676671981811523</v>
      </c>
      <c r="C284" s="6">
        <f t="shared" si="6"/>
        <v>26.676671981811523</v>
      </c>
      <c r="D284" s="3" t="str">
        <f>VLOOKUP(A284,'Exported Results'!A$282:D$641,2,FALSE)</f>
        <v>C7.c</v>
      </c>
    </row>
    <row r="285" spans="1:6" ht="14.25" x14ac:dyDescent="0.2">
      <c r="A285" s="8" t="s">
        <v>337</v>
      </c>
      <c r="B285" s="6">
        <f>VLOOKUP(A285,'Exported Results'!A$282:D683,4,FALSE)</f>
        <v>26.307559967041016</v>
      </c>
      <c r="C285" s="6">
        <f t="shared" si="6"/>
        <v>26.307559967041016</v>
      </c>
      <c r="D285" s="3" t="str">
        <f>VLOOKUP(A285,'Exported Results'!A$282:D$641,2,FALSE)</f>
        <v>C8.a</v>
      </c>
      <c r="E285" s="14">
        <f>AVERAGE(C285:C287)</f>
        <v>26.334227244059246</v>
      </c>
      <c r="F285">
        <f>_xlfn.STDEV.P(C285:C287)</f>
        <v>1.9914828558667805E-2</v>
      </c>
    </row>
    <row r="286" spans="1:6" ht="14.25" x14ac:dyDescent="0.2">
      <c r="A286" s="8" t="s">
        <v>338</v>
      </c>
      <c r="B286" s="6">
        <f>VLOOKUP(A286,'Exported Results'!A$282:D684,4,FALSE)</f>
        <v>26.355405807495117</v>
      </c>
      <c r="C286" s="6">
        <f t="shared" si="6"/>
        <v>26.355405807495117</v>
      </c>
      <c r="D286" s="3" t="str">
        <f>VLOOKUP(A286,'Exported Results'!A$282:D$641,2,FALSE)</f>
        <v>C8.b</v>
      </c>
    </row>
    <row r="287" spans="1:6" ht="14.25" x14ac:dyDescent="0.2">
      <c r="A287" s="8" t="s">
        <v>339</v>
      </c>
      <c r="B287" s="6">
        <f>VLOOKUP(A287,'Exported Results'!A$282:D685,4,FALSE)</f>
        <v>26.339715957641602</v>
      </c>
      <c r="C287" s="6">
        <f t="shared" si="6"/>
        <v>26.339715957641602</v>
      </c>
      <c r="D287" s="3" t="str">
        <f>VLOOKUP(A287,'Exported Results'!A$282:D$641,2,FALSE)</f>
        <v>C8.c</v>
      </c>
    </row>
    <row r="288" spans="1:6" ht="14.25" x14ac:dyDescent="0.2">
      <c r="A288" s="8" t="s">
        <v>340</v>
      </c>
      <c r="B288" s="6">
        <f>VLOOKUP(A288,'Exported Results'!A$282:D686,4,FALSE)</f>
        <v>26.322710037231445</v>
      </c>
      <c r="C288" s="7"/>
      <c r="D288" s="3" t="str">
        <f>VLOOKUP(A288,'Exported Results'!A$282:D$641,2,FALSE)</f>
        <v>C9.a</v>
      </c>
      <c r="E288" s="14">
        <f>AVERAGE(C288:C290)</f>
        <v>26.8707275390625</v>
      </c>
      <c r="F288">
        <f>_xlfn.STDEV.P(C288:C290)</f>
        <v>8.8153839111328125E-2</v>
      </c>
    </row>
    <row r="289" spans="1:6" ht="14.25" x14ac:dyDescent="0.2">
      <c r="A289" s="8" t="s">
        <v>341</v>
      </c>
      <c r="B289" s="6">
        <f>VLOOKUP(A289,'Exported Results'!A$282:D687,4,FALSE)</f>
        <v>26.782573699951172</v>
      </c>
      <c r="C289" s="6">
        <f t="shared" si="6"/>
        <v>26.782573699951172</v>
      </c>
      <c r="D289" s="3" t="str">
        <f>VLOOKUP(A289,'Exported Results'!A$282:D$641,2,FALSE)</f>
        <v>C9.b</v>
      </c>
    </row>
    <row r="290" spans="1:6" ht="14.25" x14ac:dyDescent="0.2">
      <c r="A290" s="8" t="s">
        <v>342</v>
      </c>
      <c r="B290" s="6">
        <f>VLOOKUP(A290,'Exported Results'!A$282:D688,4,FALSE)</f>
        <v>26.958881378173828</v>
      </c>
      <c r="C290" s="6">
        <f t="shared" si="6"/>
        <v>26.958881378173828</v>
      </c>
      <c r="D290" s="3" t="str">
        <f>VLOOKUP(A290,'Exported Results'!A$282:D$641,2,FALSE)</f>
        <v>C9.c</v>
      </c>
    </row>
    <row r="291" spans="1:6" ht="14.25" x14ac:dyDescent="0.2">
      <c r="A291" s="8" t="s">
        <v>343</v>
      </c>
      <c r="B291" s="6">
        <f>VLOOKUP(A291,'Exported Results'!A$282:D689,4,FALSE)</f>
        <v>27.048650741577148</v>
      </c>
      <c r="C291" s="6">
        <f t="shared" si="6"/>
        <v>27.048650741577148</v>
      </c>
      <c r="D291" s="3" t="str">
        <f>VLOOKUP(A291,'Exported Results'!A$282:D$641,2,FALSE)</f>
        <v>O1.a</v>
      </c>
      <c r="E291" s="14">
        <f>AVERAGE(C291:C293)</f>
        <v>27.055233637491863</v>
      </c>
      <c r="F291">
        <f>_xlfn.STDEV.P(C291:C293)</f>
        <v>0.11392605172678488</v>
      </c>
    </row>
    <row r="292" spans="1:6" ht="14.25" x14ac:dyDescent="0.2">
      <c r="A292" s="8" t="s">
        <v>344</v>
      </c>
      <c r="B292" s="6">
        <f>VLOOKUP(A292,'Exported Results'!A$282:D690,4,FALSE)</f>
        <v>27.197938919067383</v>
      </c>
      <c r="C292" s="6">
        <f t="shared" si="6"/>
        <v>27.197938919067383</v>
      </c>
      <c r="D292" s="3" t="str">
        <f>VLOOKUP(A292,'Exported Results'!A$282:D$641,2,FALSE)</f>
        <v>O1.b</v>
      </c>
    </row>
    <row r="293" spans="1:6" ht="14.25" x14ac:dyDescent="0.2">
      <c r="A293" s="8" t="s">
        <v>345</v>
      </c>
      <c r="B293" s="6">
        <f>VLOOKUP(A293,'Exported Results'!A$282:D691,4,FALSE)</f>
        <v>26.919111251831055</v>
      </c>
      <c r="C293" s="6">
        <f t="shared" si="6"/>
        <v>26.919111251831055</v>
      </c>
      <c r="D293" s="3" t="str">
        <f>VLOOKUP(A293,'Exported Results'!A$282:D$641,2,FALSE)</f>
        <v>O1.c</v>
      </c>
    </row>
    <row r="294" spans="1:6" ht="14.25" x14ac:dyDescent="0.2">
      <c r="A294" s="8" t="s">
        <v>346</v>
      </c>
      <c r="B294" s="6">
        <f>VLOOKUP(A294,'Exported Results'!A$282:D692,4,FALSE)</f>
        <v>26.961391448974609</v>
      </c>
      <c r="C294" s="6">
        <f t="shared" si="6"/>
        <v>26.961391448974609</v>
      </c>
      <c r="D294" s="3" t="str">
        <f>VLOOKUP(A294,'Exported Results'!A$282:D$641,2,FALSE)</f>
        <v>O2.a</v>
      </c>
      <c r="E294" s="14">
        <f>AVERAGE(C294:C296)</f>
        <v>26.980669657389324</v>
      </c>
      <c r="F294">
        <f>_xlfn.STDEV.P(C294:C296)</f>
        <v>2.7719257542131351E-2</v>
      </c>
    </row>
    <row r="295" spans="1:6" ht="14.25" x14ac:dyDescent="0.2">
      <c r="A295" s="8" t="s">
        <v>347</v>
      </c>
      <c r="B295" s="6">
        <f>VLOOKUP(A295,'Exported Results'!A$282:D693,4,FALSE)</f>
        <v>27.019868850708008</v>
      </c>
      <c r="C295" s="6">
        <f t="shared" si="6"/>
        <v>27.019868850708008</v>
      </c>
      <c r="D295" s="3" t="str">
        <f>VLOOKUP(A295,'Exported Results'!A$282:D$641,2,FALSE)</f>
        <v>O2.b</v>
      </c>
    </row>
    <row r="296" spans="1:6" ht="14.25" x14ac:dyDescent="0.2">
      <c r="A296" s="8" t="s">
        <v>348</v>
      </c>
      <c r="B296" s="6">
        <f>VLOOKUP(A296,'Exported Results'!A$282:D694,4,FALSE)</f>
        <v>26.960748672485352</v>
      </c>
      <c r="C296" s="6">
        <f t="shared" si="6"/>
        <v>26.960748672485352</v>
      </c>
      <c r="D296" s="3" t="str">
        <f>VLOOKUP(A296,'Exported Results'!A$282:D$641,2,FALSE)</f>
        <v>O2.c</v>
      </c>
    </row>
    <row r="297" spans="1:6" ht="14.25" x14ac:dyDescent="0.2">
      <c r="A297" s="8" t="s">
        <v>349</v>
      </c>
      <c r="B297" s="6">
        <f>VLOOKUP(A297,'Exported Results'!A$282:D695,4,FALSE)</f>
        <v>26.611948013305664</v>
      </c>
      <c r="C297" s="6">
        <f t="shared" si="6"/>
        <v>26.611948013305664</v>
      </c>
      <c r="D297" s="3" t="str">
        <f>VLOOKUP(A297,'Exported Results'!A$282:D$641,2,FALSE)</f>
        <v>O3.a</v>
      </c>
      <c r="E297" s="14">
        <f>AVERAGE(C297:C299)</f>
        <v>26.553325653076172</v>
      </c>
      <c r="F297">
        <f>_xlfn.STDEV.P(C297:C299)</f>
        <v>4.1735979925180709E-2</v>
      </c>
    </row>
    <row r="298" spans="1:6" ht="14.25" x14ac:dyDescent="0.2">
      <c r="A298" s="8" t="s">
        <v>350</v>
      </c>
      <c r="B298" s="6">
        <f>VLOOKUP(A298,'Exported Results'!A$282:D696,4,FALSE)</f>
        <v>26.529964447021484</v>
      </c>
      <c r="C298" s="6">
        <f t="shared" si="6"/>
        <v>26.529964447021484</v>
      </c>
      <c r="D298" s="3" t="str">
        <f>VLOOKUP(A298,'Exported Results'!A$282:D$641,2,FALSE)</f>
        <v>O3.b</v>
      </c>
    </row>
    <row r="299" spans="1:6" ht="14.25" x14ac:dyDescent="0.2">
      <c r="A299" s="8" t="s">
        <v>351</v>
      </c>
      <c r="B299" s="6">
        <f>VLOOKUP(A299,'Exported Results'!A$282:D697,4,FALSE)</f>
        <v>26.518064498901367</v>
      </c>
      <c r="C299" s="6">
        <f t="shared" si="6"/>
        <v>26.518064498901367</v>
      </c>
      <c r="D299" s="3" t="str">
        <f>VLOOKUP(A299,'Exported Results'!A$282:D$641,2,FALSE)</f>
        <v>O3.c</v>
      </c>
    </row>
    <row r="300" spans="1:6" ht="14.25" x14ac:dyDescent="0.2">
      <c r="A300" s="8" t="s">
        <v>352</v>
      </c>
      <c r="B300" s="6">
        <f>VLOOKUP(A300,'Exported Results'!A$282:D698,4,FALSE)</f>
        <v>26.402877807617188</v>
      </c>
      <c r="C300" s="6">
        <f t="shared" si="6"/>
        <v>26.402877807617188</v>
      </c>
      <c r="D300" s="3" t="str">
        <f>VLOOKUP(A300,'Exported Results'!A$282:D$641,2,FALSE)</f>
        <v>O4.a</v>
      </c>
      <c r="E300" s="14">
        <f>AVERAGE(C300:C302)</f>
        <v>26.565551122029621</v>
      </c>
      <c r="F300">
        <f>_xlfn.STDEV.P(C300:C302)</f>
        <v>0.13014213420537957</v>
      </c>
    </row>
    <row r="301" spans="1:6" ht="14.25" x14ac:dyDescent="0.2">
      <c r="A301" s="8" t="s">
        <v>353</v>
      </c>
      <c r="B301" s="6">
        <f>VLOOKUP(A301,'Exported Results'!A$282:D699,4,FALSE)</f>
        <v>26.572332382202148</v>
      </c>
      <c r="C301" s="6">
        <f t="shared" si="6"/>
        <v>26.572332382202148</v>
      </c>
      <c r="D301" s="3" t="str">
        <f>VLOOKUP(A301,'Exported Results'!A$282:D$641,2,FALSE)</f>
        <v>O4.b</v>
      </c>
    </row>
    <row r="302" spans="1:6" ht="14.25" x14ac:dyDescent="0.2">
      <c r="A302" s="8" t="s">
        <v>354</v>
      </c>
      <c r="B302" s="6">
        <f>VLOOKUP(A302,'Exported Results'!A$282:D700,4,FALSE)</f>
        <v>26.721443176269531</v>
      </c>
      <c r="C302" s="6">
        <f t="shared" si="6"/>
        <v>26.721443176269531</v>
      </c>
      <c r="D302" s="3" t="str">
        <f>VLOOKUP(A302,'Exported Results'!A$282:D$641,2,FALSE)</f>
        <v>O4.c</v>
      </c>
    </row>
    <row r="303" spans="1:6" ht="14.25" x14ac:dyDescent="0.2">
      <c r="A303" s="8" t="s">
        <v>355</v>
      </c>
      <c r="B303" s="6">
        <f>VLOOKUP(A303,'Exported Results'!A$282:D701,4,FALSE)</f>
        <v>26.900171279907227</v>
      </c>
      <c r="C303" s="6">
        <f t="shared" si="6"/>
        <v>26.900171279907227</v>
      </c>
      <c r="D303" s="3" t="str">
        <f>VLOOKUP(A303,'Exported Results'!A$282:D$641,2,FALSE)</f>
        <v>O5.a</v>
      </c>
      <c r="E303" s="14">
        <f>AVERAGE(C303:C305)</f>
        <v>26.859350840250652</v>
      </c>
      <c r="F303">
        <f>_xlfn.STDEV.P(C303:C305)</f>
        <v>3.4039531894682805E-2</v>
      </c>
    </row>
    <row r="304" spans="1:6" ht="14.25" x14ac:dyDescent="0.2">
      <c r="A304" s="8" t="s">
        <v>356</v>
      </c>
      <c r="B304" s="6">
        <f>VLOOKUP(A304,'Exported Results'!A$282:D702,4,FALSE)</f>
        <v>26.861038208007813</v>
      </c>
      <c r="C304" s="6">
        <f t="shared" si="6"/>
        <v>26.861038208007813</v>
      </c>
      <c r="D304" s="3" t="str">
        <f>VLOOKUP(A304,'Exported Results'!A$282:D$641,2,FALSE)</f>
        <v>O5.b</v>
      </c>
    </row>
    <row r="305" spans="1:6" ht="14.25" x14ac:dyDescent="0.2">
      <c r="A305" s="8" t="s">
        <v>357</v>
      </c>
      <c r="B305" s="6">
        <f>VLOOKUP(A305,'Exported Results'!A$282:D703,4,FALSE)</f>
        <v>26.816843032836914</v>
      </c>
      <c r="C305" s="6">
        <f t="shared" si="6"/>
        <v>26.816843032836914</v>
      </c>
      <c r="D305" s="3" t="str">
        <f>VLOOKUP(A305,'Exported Results'!A$282:D$641,2,FALSE)</f>
        <v>O5.c</v>
      </c>
    </row>
    <row r="306" spans="1:6" ht="14.25" x14ac:dyDescent="0.2">
      <c r="A306" s="8" t="s">
        <v>358</v>
      </c>
      <c r="B306" s="6">
        <f>VLOOKUP(A306,'Exported Results'!A$282:D704,4,FALSE)</f>
        <v>26.94603157043457</v>
      </c>
      <c r="C306" s="6">
        <f t="shared" si="6"/>
        <v>26.94603157043457</v>
      </c>
      <c r="D306" s="3" t="str">
        <f>VLOOKUP(A306,'Exported Results'!A$282:D$641,2,FALSE)</f>
        <v>O6.a</v>
      </c>
      <c r="E306" s="14">
        <f>AVERAGE(C306:C308)</f>
        <v>26.881657282511394</v>
      </c>
      <c r="F306">
        <f>_xlfn.STDEV.P(C306:C308)</f>
        <v>7.9067362435149988E-2</v>
      </c>
    </row>
    <row r="307" spans="1:6" ht="14.25" x14ac:dyDescent="0.2">
      <c r="A307" s="8" t="s">
        <v>359</v>
      </c>
      <c r="B307" s="6">
        <f>VLOOKUP(A307,'Exported Results'!A$282:D705,4,FALSE)</f>
        <v>26.770290374755859</v>
      </c>
      <c r="C307" s="6">
        <f t="shared" si="6"/>
        <v>26.770290374755859</v>
      </c>
      <c r="D307" s="3" t="str">
        <f>VLOOKUP(A307,'Exported Results'!A$282:D$641,2,FALSE)</f>
        <v>O6.b</v>
      </c>
    </row>
    <row r="308" spans="1:6" ht="14.25" x14ac:dyDescent="0.2">
      <c r="A308" s="8" t="s">
        <v>360</v>
      </c>
      <c r="B308" s="6">
        <f>VLOOKUP(A308,'Exported Results'!A$282:D706,4,FALSE)</f>
        <v>26.92864990234375</v>
      </c>
      <c r="C308" s="6">
        <f t="shared" si="6"/>
        <v>26.92864990234375</v>
      </c>
      <c r="D308" s="3" t="str">
        <f>VLOOKUP(A308,'Exported Results'!A$282:D$641,2,FALSE)</f>
        <v>O6.c</v>
      </c>
    </row>
    <row r="309" spans="1:6" ht="14.25" x14ac:dyDescent="0.2">
      <c r="A309" s="8" t="s">
        <v>361</v>
      </c>
      <c r="B309" s="6">
        <f>VLOOKUP(A309,'Exported Results'!A$282:D707,4,FALSE)</f>
        <v>27.144174575805664</v>
      </c>
      <c r="C309" s="6">
        <f t="shared" si="6"/>
        <v>27.144174575805664</v>
      </c>
      <c r="D309" s="3" t="str">
        <f>VLOOKUP(A309,'Exported Results'!A$282:D$641,2,FALSE)</f>
        <v>O7.a</v>
      </c>
      <c r="E309" s="14">
        <f>AVERAGE(C309:C311)</f>
        <v>27.135416666666668</v>
      </c>
      <c r="F309">
        <f>_xlfn.STDEV.P(C309:C311)</f>
        <v>5.0572998551921239E-2</v>
      </c>
    </row>
    <row r="310" spans="1:6" ht="14.25" x14ac:dyDescent="0.2">
      <c r="A310" s="8" t="s">
        <v>362</v>
      </c>
      <c r="B310" s="6">
        <f>VLOOKUP(A310,'Exported Results'!A$282:D708,4,FALSE)</f>
        <v>27.069564819335938</v>
      </c>
      <c r="C310" s="6">
        <f t="shared" si="6"/>
        <v>27.069564819335938</v>
      </c>
      <c r="D310" s="3" t="str">
        <f>VLOOKUP(A310,'Exported Results'!A$282:D$641,2,FALSE)</f>
        <v>O7.b</v>
      </c>
    </row>
    <row r="311" spans="1:6" ht="14.25" x14ac:dyDescent="0.2">
      <c r="A311" s="8" t="s">
        <v>363</v>
      </c>
      <c r="B311" s="6">
        <f>VLOOKUP(A311,'Exported Results'!A$282:D709,4,FALSE)</f>
        <v>27.192510604858398</v>
      </c>
      <c r="C311" s="6">
        <f t="shared" si="6"/>
        <v>27.192510604858398</v>
      </c>
      <c r="D311" s="3" t="str">
        <f>VLOOKUP(A311,'Exported Results'!A$282:D$641,2,FALSE)</f>
        <v>O7.c</v>
      </c>
    </row>
    <row r="312" spans="1:6" ht="14.25" x14ac:dyDescent="0.2">
      <c r="A312" s="8" t="s">
        <v>364</v>
      </c>
      <c r="B312" s="6">
        <f>VLOOKUP(A312,'Exported Results'!A$282:D710,4,FALSE)</f>
        <v>26.695304870605469</v>
      </c>
      <c r="C312" s="6">
        <f t="shared" si="6"/>
        <v>26.695304870605469</v>
      </c>
      <c r="D312" s="3" t="str">
        <f>VLOOKUP(A312,'Exported Results'!A$282:D$641,2,FALSE)</f>
        <v>O8.a</v>
      </c>
      <c r="E312" s="14">
        <f>AVERAGE(C312:C314)</f>
        <v>26.718584696451824</v>
      </c>
      <c r="F312">
        <f>_xlfn.STDEV.P(C312:C314)</f>
        <v>3.6968551365548198E-2</v>
      </c>
    </row>
    <row r="313" spans="1:6" ht="14.25" x14ac:dyDescent="0.2">
      <c r="A313" s="8" t="s">
        <v>365</v>
      </c>
      <c r="B313" s="6">
        <f>VLOOKUP(A313,'Exported Results'!A$282:D711,4,FALSE)</f>
        <v>26.77076530456543</v>
      </c>
      <c r="C313" s="6">
        <f t="shared" si="6"/>
        <v>26.77076530456543</v>
      </c>
      <c r="D313" s="3" t="str">
        <f>VLOOKUP(A313,'Exported Results'!A$282:D$641,2,FALSE)</f>
        <v>O8.b</v>
      </c>
    </row>
    <row r="314" spans="1:6" ht="14.25" x14ac:dyDescent="0.2">
      <c r="A314" s="8" t="s">
        <v>366</v>
      </c>
      <c r="B314" s="6">
        <f>VLOOKUP(A314,'Exported Results'!A$282:D712,4,FALSE)</f>
        <v>26.68968391418457</v>
      </c>
      <c r="C314" s="6">
        <f t="shared" si="6"/>
        <v>26.68968391418457</v>
      </c>
      <c r="D314" s="3" t="str">
        <f>VLOOKUP(A314,'Exported Results'!A$282:D$641,2,FALSE)</f>
        <v>O8.c</v>
      </c>
    </row>
    <row r="315" spans="1:6" ht="14.25" x14ac:dyDescent="0.2">
      <c r="A315" s="8" t="s">
        <v>367</v>
      </c>
      <c r="B315" s="6">
        <f>VLOOKUP(A315,'Exported Results'!A$282:D713,4,FALSE)</f>
        <v>26.948017120361328</v>
      </c>
      <c r="C315" s="6">
        <f t="shared" si="6"/>
        <v>26.948017120361328</v>
      </c>
      <c r="D315" s="3" t="str">
        <f>VLOOKUP(A315,'Exported Results'!A$282:D$641,2,FALSE)</f>
        <v>O9.a</v>
      </c>
      <c r="E315" s="14">
        <f>AVERAGE(C315:C317)</f>
        <v>26.898149490356445</v>
      </c>
      <c r="F315">
        <f>_xlfn.STDEV.P(C315:C317)</f>
        <v>5.2696397466383917E-2</v>
      </c>
    </row>
    <row r="316" spans="1:6" ht="14.25" x14ac:dyDescent="0.2">
      <c r="A316" s="8" t="s">
        <v>368</v>
      </c>
      <c r="B316" s="6">
        <f>VLOOKUP(A316,'Exported Results'!A$282:D714,4,FALSE)</f>
        <v>26.921176910400391</v>
      </c>
      <c r="C316" s="6">
        <f t="shared" si="6"/>
        <v>26.921176910400391</v>
      </c>
      <c r="D316" s="3" t="str">
        <f>VLOOKUP(A316,'Exported Results'!A$282:D$641,2,FALSE)</f>
        <v>O9.b</v>
      </c>
    </row>
    <row r="317" spans="1:6" ht="14.25" x14ac:dyDescent="0.2">
      <c r="A317" s="8" t="s">
        <v>369</v>
      </c>
      <c r="B317" s="6">
        <f>VLOOKUP(A317,'Exported Results'!A$282:D715,4,FALSE)</f>
        <v>26.825254440307617</v>
      </c>
      <c r="C317" s="6">
        <f t="shared" si="6"/>
        <v>26.825254440307617</v>
      </c>
      <c r="D317" s="3" t="str">
        <f>VLOOKUP(A317,'Exported Results'!A$282:D$641,2,FALSE)</f>
        <v>O9.c</v>
      </c>
    </row>
    <row r="318" spans="1:6" ht="14.25" x14ac:dyDescent="0.2">
      <c r="A318" s="8" t="s">
        <v>370</v>
      </c>
      <c r="B318" s="6">
        <f>VLOOKUP(A318,'Exported Results'!A$282:D716,4,FALSE)</f>
        <v>27.032604217529297</v>
      </c>
      <c r="C318" s="6">
        <f t="shared" si="6"/>
        <v>27.032604217529297</v>
      </c>
      <c r="D318" s="3" t="str">
        <f>VLOOKUP(A318,'Exported Results'!A$282:D$641,2,FALSE)</f>
        <v>P1.a</v>
      </c>
      <c r="E318" s="14">
        <f>AVERAGE(C318:C320)</f>
        <v>26.966519037882488</v>
      </c>
      <c r="F318">
        <f>_xlfn.STDEV.P(C318:C320)</f>
        <v>6.4721951377336703E-2</v>
      </c>
    </row>
    <row r="319" spans="1:6" ht="14.25" x14ac:dyDescent="0.2">
      <c r="A319" s="8" t="s">
        <v>371</v>
      </c>
      <c r="B319" s="6">
        <f>VLOOKUP(A319,'Exported Results'!A$282:D717,4,FALSE)</f>
        <v>26.988321304321289</v>
      </c>
      <c r="C319" s="6">
        <f t="shared" si="6"/>
        <v>26.988321304321289</v>
      </c>
      <c r="D319" s="3" t="str">
        <f>VLOOKUP(A319,'Exported Results'!A$282:D$641,2,FALSE)</f>
        <v>P1.b</v>
      </c>
    </row>
    <row r="320" spans="1:6" ht="14.25" x14ac:dyDescent="0.2">
      <c r="A320" s="8" t="s">
        <v>372</v>
      </c>
      <c r="B320" s="6">
        <f>VLOOKUP(A320,'Exported Results'!A$282:D718,4,FALSE)</f>
        <v>26.878631591796875</v>
      </c>
      <c r="C320" s="6">
        <f t="shared" si="6"/>
        <v>26.878631591796875</v>
      </c>
      <c r="D320" s="3" t="str">
        <f>VLOOKUP(A320,'Exported Results'!A$282:D$641,2,FALSE)</f>
        <v>P1.c</v>
      </c>
    </row>
    <row r="321" spans="1:6" ht="14.25" x14ac:dyDescent="0.2">
      <c r="A321" s="8" t="s">
        <v>373</v>
      </c>
      <c r="B321" s="6">
        <f>VLOOKUP(A321,'Exported Results'!A$282:D719,4,FALSE)</f>
        <v>26.539157867431641</v>
      </c>
      <c r="C321" s="6">
        <f t="shared" si="6"/>
        <v>26.539157867431641</v>
      </c>
      <c r="D321" s="3" t="str">
        <f>VLOOKUP(A321,'Exported Results'!A$282:D$641,2,FALSE)</f>
        <v>P2.a</v>
      </c>
      <c r="E321" s="14">
        <f>AVERAGE(C321:C323)</f>
        <v>26.664351145426433</v>
      </c>
      <c r="F321">
        <f>_xlfn.STDEV.P(C321:C323)</f>
        <v>9.0401845535270267E-2</v>
      </c>
    </row>
    <row r="322" spans="1:6" ht="14.25" x14ac:dyDescent="0.2">
      <c r="A322" s="8" t="s">
        <v>374</v>
      </c>
      <c r="B322" s="6">
        <f>VLOOKUP(A322,'Exported Results'!A$282:D720,4,FALSE)</f>
        <v>26.704504013061523</v>
      </c>
      <c r="C322" s="6">
        <f t="shared" si="6"/>
        <v>26.704504013061523</v>
      </c>
      <c r="D322" s="3" t="str">
        <f>VLOOKUP(A322,'Exported Results'!A$282:D$641,2,FALSE)</f>
        <v>P2.b</v>
      </c>
    </row>
    <row r="323" spans="1:6" ht="14.25" x14ac:dyDescent="0.2">
      <c r="A323" s="8" t="s">
        <v>375</v>
      </c>
      <c r="B323" s="6">
        <f>VLOOKUP(A323,'Exported Results'!A$282:D721,4,FALSE)</f>
        <v>26.749391555786133</v>
      </c>
      <c r="C323" s="6">
        <f t="shared" si="6"/>
        <v>26.749391555786133</v>
      </c>
      <c r="D323" s="3" t="str">
        <f>VLOOKUP(A323,'Exported Results'!A$282:D$641,2,FALSE)</f>
        <v>P2.c</v>
      </c>
    </row>
    <row r="324" spans="1:6" ht="14.25" x14ac:dyDescent="0.2">
      <c r="A324" s="8" t="s">
        <v>376</v>
      </c>
      <c r="B324" s="6">
        <f>VLOOKUP(A324,'Exported Results'!A$282:D722,4,FALSE)</f>
        <v>26.989042282104492</v>
      </c>
      <c r="C324" s="6">
        <f t="shared" ref="C324:C353" si="7">IF(B324="Undetermined",40.1,B324)</f>
        <v>26.989042282104492</v>
      </c>
      <c r="D324" s="3" t="str">
        <f>VLOOKUP(A324,'Exported Results'!A$282:D$641,2,FALSE)</f>
        <v>P3.a</v>
      </c>
      <c r="E324" s="14">
        <f>AVERAGE(C324:C326)</f>
        <v>26.96476109822591</v>
      </c>
      <c r="F324">
        <f>_xlfn.STDEV.P(C324:C326)</f>
        <v>0.15264073340889855</v>
      </c>
    </row>
    <row r="325" spans="1:6" ht="14.25" x14ac:dyDescent="0.2">
      <c r="A325" s="8" t="s">
        <v>377</v>
      </c>
      <c r="B325" s="6">
        <f>VLOOKUP(A325,'Exported Results'!A$282:D723,4,FALSE)</f>
        <v>26.766860961914063</v>
      </c>
      <c r="C325" s="6">
        <f t="shared" si="7"/>
        <v>26.766860961914063</v>
      </c>
      <c r="D325" s="3" t="str">
        <f>VLOOKUP(A325,'Exported Results'!A$282:D$641,2,FALSE)</f>
        <v>P3.b</v>
      </c>
    </row>
    <row r="326" spans="1:6" ht="14.25" x14ac:dyDescent="0.2">
      <c r="A326" s="8" t="s">
        <v>378</v>
      </c>
      <c r="B326" s="6">
        <f>VLOOKUP(A326,'Exported Results'!A$282:D724,4,FALSE)</f>
        <v>27.13838005065918</v>
      </c>
      <c r="C326" s="6">
        <f t="shared" si="7"/>
        <v>27.13838005065918</v>
      </c>
      <c r="D326" s="3" t="str">
        <f>VLOOKUP(A326,'Exported Results'!A$282:D$641,2,FALSE)</f>
        <v>P3.c</v>
      </c>
    </row>
    <row r="327" spans="1:6" ht="14.25" x14ac:dyDescent="0.2">
      <c r="A327" s="8" t="s">
        <v>379</v>
      </c>
      <c r="B327" s="6">
        <f>VLOOKUP(A327,'Exported Results'!A$282:D725,4,FALSE)</f>
        <v>27.030233383178711</v>
      </c>
      <c r="C327" s="6">
        <f t="shared" si="7"/>
        <v>27.030233383178711</v>
      </c>
      <c r="D327" s="3" t="str">
        <f>VLOOKUP(A327,'Exported Results'!A$282:D$641,2,FALSE)</f>
        <v>P4.a</v>
      </c>
      <c r="E327" s="14">
        <f>AVERAGE(C327:C329)</f>
        <v>26.990049997965496</v>
      </c>
      <c r="F327">
        <f>_xlfn.STDEV.P(C327:C329)</f>
        <v>7.6334362074656409E-2</v>
      </c>
    </row>
    <row r="328" spans="1:6" ht="14.25" x14ac:dyDescent="0.2">
      <c r="A328" s="8" t="s">
        <v>380</v>
      </c>
      <c r="B328" s="6">
        <f>VLOOKUP(A328,'Exported Results'!A$282:D726,4,FALSE)</f>
        <v>27.056730270385742</v>
      </c>
      <c r="C328" s="6">
        <f t="shared" si="7"/>
        <v>27.056730270385742</v>
      </c>
      <c r="D328" s="3" t="str">
        <f>VLOOKUP(A328,'Exported Results'!A$282:D$641,2,FALSE)</f>
        <v>P4.b</v>
      </c>
    </row>
    <row r="329" spans="1:6" ht="14.25" x14ac:dyDescent="0.2">
      <c r="A329" s="8" t="s">
        <v>381</v>
      </c>
      <c r="B329" s="6">
        <f>VLOOKUP(A329,'Exported Results'!A$282:D727,4,FALSE)</f>
        <v>26.883186340332031</v>
      </c>
      <c r="C329" s="6">
        <f t="shared" si="7"/>
        <v>26.883186340332031</v>
      </c>
      <c r="D329" s="3" t="str">
        <f>VLOOKUP(A329,'Exported Results'!A$282:D$641,2,FALSE)</f>
        <v>P4.c</v>
      </c>
    </row>
    <row r="330" spans="1:6" ht="14.25" x14ac:dyDescent="0.2">
      <c r="A330" s="8" t="s">
        <v>382</v>
      </c>
      <c r="B330" s="6">
        <f>VLOOKUP(A330,'Exported Results'!A$282:D728,4,FALSE)</f>
        <v>26.695327758789063</v>
      </c>
      <c r="C330" s="6">
        <f t="shared" si="7"/>
        <v>26.695327758789063</v>
      </c>
      <c r="D330" s="3" t="str">
        <f>VLOOKUP(A330,'Exported Results'!A$282:D$641,2,FALSE)</f>
        <v>P5.a</v>
      </c>
      <c r="E330" s="14">
        <f>AVERAGE(C330:C332)</f>
        <v>26.72181002298991</v>
      </c>
      <c r="F330">
        <f>_xlfn.STDEV.P(C330:C332)</f>
        <v>1.9005357778225557E-2</v>
      </c>
    </row>
    <row r="331" spans="1:6" ht="14.25" x14ac:dyDescent="0.2">
      <c r="A331" s="8" t="s">
        <v>383</v>
      </c>
      <c r="B331" s="6">
        <f>VLOOKUP(A331,'Exported Results'!A$282:D729,4,FALSE)</f>
        <v>26.731073379516602</v>
      </c>
      <c r="C331" s="6">
        <f t="shared" si="7"/>
        <v>26.731073379516602</v>
      </c>
      <c r="D331" s="3" t="str">
        <f>VLOOKUP(A331,'Exported Results'!A$282:D$641,2,FALSE)</f>
        <v>P5.b</v>
      </c>
    </row>
    <row r="332" spans="1:6" ht="14.25" x14ac:dyDescent="0.2">
      <c r="A332" s="8" t="s">
        <v>384</v>
      </c>
      <c r="B332" s="6">
        <f>VLOOKUP(A332,'Exported Results'!A$282:D730,4,FALSE)</f>
        <v>26.739028930664063</v>
      </c>
      <c r="C332" s="6">
        <f t="shared" si="7"/>
        <v>26.739028930664063</v>
      </c>
      <c r="D332" s="3" t="str">
        <f>VLOOKUP(A332,'Exported Results'!A$282:D$641,2,FALSE)</f>
        <v>P5.c</v>
      </c>
    </row>
    <row r="333" spans="1:6" ht="14.25" x14ac:dyDescent="0.2">
      <c r="A333" s="8" t="s">
        <v>385</v>
      </c>
      <c r="B333" s="6">
        <f>VLOOKUP(A333,'Exported Results'!A$282:D731,4,FALSE)</f>
        <v>26.869962692260742</v>
      </c>
      <c r="C333" s="6">
        <f t="shared" si="7"/>
        <v>26.869962692260742</v>
      </c>
      <c r="D333" s="3" t="str">
        <f>VLOOKUP(A333,'Exported Results'!A$282:D$641,2,FALSE)</f>
        <v>P6.a</v>
      </c>
      <c r="E333" s="14">
        <f>AVERAGE(C333:C335)</f>
        <v>26.966943105061848</v>
      </c>
      <c r="F333">
        <f>_xlfn.STDEV.P(C333:C335)</f>
        <v>7.1838038129825615E-2</v>
      </c>
    </row>
    <row r="334" spans="1:6" ht="14.25" x14ac:dyDescent="0.2">
      <c r="A334" s="8" t="s">
        <v>386</v>
      </c>
      <c r="B334" s="6">
        <f>VLOOKUP(A334,'Exported Results'!A$282:D732,4,FALSE)</f>
        <v>27.041646957397461</v>
      </c>
      <c r="C334" s="6">
        <f t="shared" si="7"/>
        <v>27.041646957397461</v>
      </c>
      <c r="D334" s="3" t="str">
        <f>VLOOKUP(A334,'Exported Results'!A$282:D$641,2,FALSE)</f>
        <v>P6.b</v>
      </c>
    </row>
    <row r="335" spans="1:6" ht="14.25" x14ac:dyDescent="0.2">
      <c r="A335" s="8" t="s">
        <v>387</v>
      </c>
      <c r="B335" s="6">
        <f>VLOOKUP(A335,'Exported Results'!A$282:D733,4,FALSE)</f>
        <v>26.989219665527344</v>
      </c>
      <c r="C335" s="6">
        <f t="shared" si="7"/>
        <v>26.989219665527344</v>
      </c>
      <c r="D335" s="3" t="str">
        <f>VLOOKUP(A335,'Exported Results'!A$282:D$641,2,FALSE)</f>
        <v>P6.c</v>
      </c>
    </row>
    <row r="336" spans="1:6" ht="14.25" x14ac:dyDescent="0.2">
      <c r="A336" s="8" t="s">
        <v>388</v>
      </c>
      <c r="B336" s="6">
        <f>VLOOKUP(A336,'Exported Results'!A$282:D734,4,FALSE)</f>
        <v>27.215766906738281</v>
      </c>
      <c r="C336" s="6">
        <f t="shared" si="7"/>
        <v>27.215766906738281</v>
      </c>
      <c r="D336" s="3" t="str">
        <f>VLOOKUP(A336,'Exported Results'!A$282:D$641,2,FALSE)</f>
        <v>P7.a</v>
      </c>
      <c r="E336" s="14">
        <f>AVERAGE(C336:C338)</f>
        <v>27.298549016316731</v>
      </c>
      <c r="F336">
        <f>_xlfn.STDEV.P(C336:C338)</f>
        <v>6.2454350624863549E-2</v>
      </c>
    </row>
    <row r="337" spans="1:6" ht="14.25" x14ac:dyDescent="0.2">
      <c r="A337" s="8" t="s">
        <v>389</v>
      </c>
      <c r="B337" s="6">
        <f>VLOOKUP(A337,'Exported Results'!A$282:D735,4,FALSE)</f>
        <v>27.366607666015625</v>
      </c>
      <c r="C337" s="6">
        <f t="shared" si="7"/>
        <v>27.366607666015625</v>
      </c>
      <c r="D337" s="3" t="str">
        <f>VLOOKUP(A337,'Exported Results'!A$282:D$641,2,FALSE)</f>
        <v>P7.b</v>
      </c>
    </row>
    <row r="338" spans="1:6" ht="14.25" x14ac:dyDescent="0.2">
      <c r="A338" s="8" t="s">
        <v>390</v>
      </c>
      <c r="B338" s="6">
        <f>VLOOKUP(A338,'Exported Results'!A$282:D736,4,FALSE)</f>
        <v>27.313272476196289</v>
      </c>
      <c r="C338" s="6">
        <f t="shared" si="7"/>
        <v>27.313272476196289</v>
      </c>
      <c r="D338" s="3" t="str">
        <f>VLOOKUP(A338,'Exported Results'!A$282:D$641,2,FALSE)</f>
        <v>P7.c</v>
      </c>
    </row>
    <row r="339" spans="1:6" ht="14.25" x14ac:dyDescent="0.2">
      <c r="A339" s="8" t="s">
        <v>391</v>
      </c>
      <c r="B339" s="6">
        <f>VLOOKUP(A339,'Exported Results'!A$282:D737,4,FALSE)</f>
        <v>26.969039916992188</v>
      </c>
      <c r="C339" s="6">
        <f t="shared" si="7"/>
        <v>26.969039916992188</v>
      </c>
      <c r="D339" s="3" t="str">
        <f>VLOOKUP(A339,'Exported Results'!A$282:D$641,2,FALSE)</f>
        <v>P8.a</v>
      </c>
      <c r="E339" s="14">
        <f>AVERAGE(C339:C341)</f>
        <v>26.917430241902668</v>
      </c>
      <c r="F339">
        <f>_xlfn.STDEV.P(C339:C341)</f>
        <v>9.8102121788516877E-2</v>
      </c>
    </row>
    <row r="340" spans="1:6" ht="14.25" x14ac:dyDescent="0.2">
      <c r="A340" s="8" t="s">
        <v>392</v>
      </c>
      <c r="B340" s="6">
        <f>VLOOKUP(A340,'Exported Results'!A$282:D738,4,FALSE)</f>
        <v>26.780097961425781</v>
      </c>
      <c r="C340" s="6">
        <f t="shared" si="7"/>
        <v>26.780097961425781</v>
      </c>
      <c r="D340" s="3" t="str">
        <f>VLOOKUP(A340,'Exported Results'!A$282:D$641,2,FALSE)</f>
        <v>P8.b</v>
      </c>
    </row>
    <row r="341" spans="1:6" ht="14.25" x14ac:dyDescent="0.2">
      <c r="A341" s="8" t="s">
        <v>393</v>
      </c>
      <c r="B341" s="6">
        <f>VLOOKUP(A341,'Exported Results'!A$282:D739,4,FALSE)</f>
        <v>27.003152847290039</v>
      </c>
      <c r="C341" s="6">
        <f t="shared" si="7"/>
        <v>27.003152847290039</v>
      </c>
      <c r="D341" s="3" t="str">
        <f>VLOOKUP(A341,'Exported Results'!A$282:D$641,2,FALSE)</f>
        <v>P8.c</v>
      </c>
    </row>
    <row r="342" spans="1:6" ht="14.25" x14ac:dyDescent="0.2">
      <c r="A342" s="8" t="s">
        <v>394</v>
      </c>
      <c r="B342" s="6">
        <f>VLOOKUP(A342,'Exported Results'!A$282:D740,4,FALSE)</f>
        <v>26.987945556640625</v>
      </c>
      <c r="C342" s="6">
        <f t="shared" si="7"/>
        <v>26.987945556640625</v>
      </c>
      <c r="D342" s="3" t="str">
        <f>VLOOKUP(A342,'Exported Results'!A$282:D$641,2,FALSE)</f>
        <v>P9.a</v>
      </c>
      <c r="E342" s="14">
        <f>AVERAGE(C342:C344)</f>
        <v>26.995936711629231</v>
      </c>
      <c r="F342">
        <f>_xlfn.STDEV.P(C342:C344)</f>
        <v>5.1235348472439907E-2</v>
      </c>
    </row>
    <row r="343" spans="1:6" ht="14.25" x14ac:dyDescent="0.2">
      <c r="A343" s="8" t="s">
        <v>395</v>
      </c>
      <c r="B343" s="6">
        <f>VLOOKUP(A343,'Exported Results'!A$282:D741,4,FALSE)</f>
        <v>27.062299728393555</v>
      </c>
      <c r="C343" s="6">
        <f t="shared" si="7"/>
        <v>27.062299728393555</v>
      </c>
      <c r="D343" s="3" t="str">
        <f>VLOOKUP(A343,'Exported Results'!A$282:D$641,2,FALSE)</f>
        <v>P9.b</v>
      </c>
    </row>
    <row r="344" spans="1:6" ht="14.25" x14ac:dyDescent="0.2">
      <c r="A344" s="8" t="s">
        <v>396</v>
      </c>
      <c r="B344" s="6">
        <f>VLOOKUP(A344,'Exported Results'!A$282:D742,4,FALSE)</f>
        <v>26.937564849853516</v>
      </c>
      <c r="C344" s="6">
        <f t="shared" si="7"/>
        <v>26.937564849853516</v>
      </c>
      <c r="D344" s="3" t="str">
        <f>VLOOKUP(A344,'Exported Results'!A$282:D$641,2,FALSE)</f>
        <v>P9.c</v>
      </c>
    </row>
    <row r="345" spans="1:6" ht="14.25" x14ac:dyDescent="0.2">
      <c r="A345" s="8" t="s">
        <v>397</v>
      </c>
      <c r="B345" s="6" t="str">
        <f>VLOOKUP(A345,'Exported Results'!A$282:D743,4,FALSE)</f>
        <v>Undetermined</v>
      </c>
      <c r="C345" s="6">
        <f t="shared" si="7"/>
        <v>40.1</v>
      </c>
      <c r="D345" s="3" t="str">
        <f>VLOOKUP(A345,'Exported Results'!A$282:D$641,2,FALSE)</f>
        <v/>
      </c>
      <c r="E345" s="14">
        <f>AVERAGE(C345:C347)</f>
        <v>40.1</v>
      </c>
      <c r="F345">
        <f>_xlfn.STDEV.P(C345:C347)</f>
        <v>0</v>
      </c>
    </row>
    <row r="346" spans="1:6" ht="14.25" x14ac:dyDescent="0.2">
      <c r="A346" s="8" t="s">
        <v>398</v>
      </c>
      <c r="B346" s="6" t="str">
        <f>VLOOKUP(A346,'Exported Results'!A$282:D744,4,FALSE)</f>
        <v>Undetermined</v>
      </c>
      <c r="C346" s="6">
        <f t="shared" si="7"/>
        <v>40.1</v>
      </c>
      <c r="D346" s="3" t="str">
        <f>VLOOKUP(A346,'Exported Results'!A$282:D$641,2,FALSE)</f>
        <v/>
      </c>
    </row>
    <row r="347" spans="1:6" ht="14.25" x14ac:dyDescent="0.2">
      <c r="A347" s="8" t="s">
        <v>399</v>
      </c>
      <c r="B347" s="6" t="str">
        <f>VLOOKUP(A347,'Exported Results'!A$282:D745,4,FALSE)</f>
        <v>Undetermined</v>
      </c>
      <c r="C347" s="6">
        <f t="shared" si="7"/>
        <v>40.1</v>
      </c>
      <c r="D347" s="3" t="str">
        <f>VLOOKUP(A347,'Exported Results'!A$282:D$641,2,FALSE)</f>
        <v/>
      </c>
    </row>
    <row r="348" spans="1:6" ht="14.25" x14ac:dyDescent="0.2">
      <c r="A348" s="8" t="s">
        <v>400</v>
      </c>
      <c r="B348" s="6" t="str">
        <f>VLOOKUP(A348,'Exported Results'!A$282:D746,4,FALSE)</f>
        <v>Undetermined</v>
      </c>
      <c r="C348" s="6">
        <f t="shared" si="7"/>
        <v>40.1</v>
      </c>
      <c r="D348" s="3" t="str">
        <f>VLOOKUP(A348,'Exported Results'!A$282:D$641,2,FALSE)</f>
        <v/>
      </c>
      <c r="E348" s="14">
        <f>AVERAGE(C348:C350)</f>
        <v>40.1</v>
      </c>
      <c r="F348">
        <f>_xlfn.STDEV.P(C348:C350)</f>
        <v>0</v>
      </c>
    </row>
    <row r="349" spans="1:6" ht="14.25" x14ac:dyDescent="0.2">
      <c r="A349" s="8" t="s">
        <v>401</v>
      </c>
      <c r="B349" s="6" t="str">
        <f>VLOOKUP(A349,'Exported Results'!A$282:D747,4,FALSE)</f>
        <v>Undetermined</v>
      </c>
      <c r="C349" s="6">
        <f t="shared" si="7"/>
        <v>40.1</v>
      </c>
      <c r="D349" s="3" t="str">
        <f>VLOOKUP(A349,'Exported Results'!A$282:D$641,2,FALSE)</f>
        <v/>
      </c>
    </row>
    <row r="350" spans="1:6" ht="14.25" x14ac:dyDescent="0.2">
      <c r="A350" s="8" t="s">
        <v>402</v>
      </c>
      <c r="B350" s="6" t="str">
        <f>VLOOKUP(A350,'Exported Results'!A$282:D748,4,FALSE)</f>
        <v>Undetermined</v>
      </c>
      <c r="C350" s="6">
        <f t="shared" si="7"/>
        <v>40.1</v>
      </c>
      <c r="D350" s="3" t="str">
        <f>VLOOKUP(A350,'Exported Results'!A$282:D$641,2,FALSE)</f>
        <v/>
      </c>
    </row>
    <row r="351" spans="1:6" ht="14.25" x14ac:dyDescent="0.2">
      <c r="A351" s="8" t="s">
        <v>403</v>
      </c>
      <c r="B351" s="6" t="str">
        <f>VLOOKUP(A351,'Exported Results'!A$282:D749,4,FALSE)</f>
        <v>Undetermined</v>
      </c>
      <c r="C351" s="6">
        <f t="shared" si="7"/>
        <v>40.1</v>
      </c>
      <c r="D351" s="3" t="str">
        <f>VLOOKUP(A351,'Exported Results'!A$282:D$641,2,FALSE)</f>
        <v/>
      </c>
      <c r="E351" s="14">
        <f>AVERAGE(C351:C353)</f>
        <v>40.1</v>
      </c>
      <c r="F351">
        <f>_xlfn.STDEV.P(C351:C353)</f>
        <v>0</v>
      </c>
    </row>
    <row r="352" spans="1:6" ht="14.25" x14ac:dyDescent="0.2">
      <c r="A352" s="8" t="s">
        <v>404</v>
      </c>
      <c r="B352" s="6" t="str">
        <f>VLOOKUP(A352,'Exported Results'!A$282:D750,4,FALSE)</f>
        <v>Undetermined</v>
      </c>
      <c r="C352" s="6">
        <f t="shared" si="7"/>
        <v>40.1</v>
      </c>
      <c r="D352" s="3" t="str">
        <f>VLOOKUP(A352,'Exported Results'!A$282:D$641,2,FALSE)</f>
        <v/>
      </c>
    </row>
    <row r="353" spans="1:6" ht="14.25" x14ac:dyDescent="0.2">
      <c r="A353" s="8" t="s">
        <v>405</v>
      </c>
      <c r="B353" s="6" t="str">
        <f>VLOOKUP(A353,'Exported Results'!A$282:D751,4,FALSE)</f>
        <v>Undetermined</v>
      </c>
      <c r="C353" s="6">
        <f t="shared" si="7"/>
        <v>40.1</v>
      </c>
      <c r="D353" s="3" t="str">
        <f>VLOOKUP(A353,'Exported Results'!A$282:D$641,2,FALSE)</f>
        <v/>
      </c>
    </row>
    <row r="354" spans="1:6" ht="14.25" x14ac:dyDescent="0.2">
      <c r="A354" s="8" t="s">
        <v>406</v>
      </c>
      <c r="B354" s="6" t="str">
        <f>VLOOKUP(A354,'Exported Results'!A$282:D752,4,FALSE)</f>
        <v>Undetermined</v>
      </c>
      <c r="C354" s="6">
        <f t="shared" ref="C334:C362" si="8">IF(B354="Undetermined",40.1,B354)</f>
        <v>40.1</v>
      </c>
      <c r="D354" s="3" t="str">
        <f>VLOOKUP(A354,'Exported Results'!A$282:D$641,2,FALSE)</f>
        <v/>
      </c>
      <c r="E354" s="14">
        <f>AVERAGE(C354:C356)</f>
        <v>40.1</v>
      </c>
      <c r="F354">
        <f>_xlfn.STDEV.P(C354:C356)</f>
        <v>0</v>
      </c>
    </row>
    <row r="355" spans="1:6" ht="14.25" x14ac:dyDescent="0.2">
      <c r="A355" s="8" t="s">
        <v>407</v>
      </c>
      <c r="B355" s="6" t="str">
        <f>VLOOKUP(A355,'Exported Results'!A$282:D753,4,FALSE)</f>
        <v>Undetermined</v>
      </c>
      <c r="C355" s="6">
        <f t="shared" si="8"/>
        <v>40.1</v>
      </c>
      <c r="D355" s="3" t="str">
        <f>VLOOKUP(A355,'Exported Results'!A$282:D$641,2,FALSE)</f>
        <v/>
      </c>
    </row>
    <row r="356" spans="1:6" ht="14.25" x14ac:dyDescent="0.2">
      <c r="A356" s="8" t="s">
        <v>408</v>
      </c>
      <c r="B356" s="6" t="str">
        <f>VLOOKUP(A356,'Exported Results'!A$282:D754,4,FALSE)</f>
        <v>Undetermined</v>
      </c>
      <c r="C356" s="6">
        <f t="shared" si="8"/>
        <v>40.1</v>
      </c>
      <c r="D356" s="3" t="str">
        <f>VLOOKUP(A356,'Exported Results'!A$282:D$641,2,FALSE)</f>
        <v/>
      </c>
    </row>
    <row r="357" spans="1:6" ht="14.25" x14ac:dyDescent="0.2">
      <c r="A357" s="8" t="s">
        <v>409</v>
      </c>
      <c r="B357" s="6" t="str">
        <f>VLOOKUP(A357,'Exported Results'!A$282:D755,4,FALSE)</f>
        <v>Undetermined</v>
      </c>
      <c r="C357" s="6">
        <f t="shared" si="8"/>
        <v>40.1</v>
      </c>
      <c r="D357" s="3" t="str">
        <f>VLOOKUP(A357,'Exported Results'!A$282:D$641,2,FALSE)</f>
        <v/>
      </c>
      <c r="E357" s="14">
        <f>AVERAGE(C357:C359)</f>
        <v>40.1</v>
      </c>
      <c r="F357">
        <f>_xlfn.STDEV.P(C357:C359)</f>
        <v>0</v>
      </c>
    </row>
    <row r="358" spans="1:6" ht="14.25" x14ac:dyDescent="0.2">
      <c r="A358" s="8" t="s">
        <v>410</v>
      </c>
      <c r="B358" s="6" t="str">
        <f>VLOOKUP(A358,'Exported Results'!A$282:D756,4,FALSE)</f>
        <v>Undetermined</v>
      </c>
      <c r="C358" s="6">
        <f t="shared" si="8"/>
        <v>40.1</v>
      </c>
      <c r="D358" s="3" t="str">
        <f>VLOOKUP(A358,'Exported Results'!A$282:D$641,2,FALSE)</f>
        <v/>
      </c>
    </row>
    <row r="359" spans="1:6" ht="14.25" x14ac:dyDescent="0.2">
      <c r="A359" s="8" t="s">
        <v>411</v>
      </c>
      <c r="B359" s="6" t="str">
        <f>VLOOKUP(A359,'Exported Results'!A$282:D757,4,FALSE)</f>
        <v>Undetermined</v>
      </c>
      <c r="C359" s="6">
        <f t="shared" si="8"/>
        <v>40.1</v>
      </c>
      <c r="D359" s="3" t="str">
        <f>VLOOKUP(A359,'Exported Results'!A$282:D$641,2,FALSE)</f>
        <v/>
      </c>
    </row>
    <row r="360" spans="1:6" ht="14.25" x14ac:dyDescent="0.2">
      <c r="A360" s="8" t="s">
        <v>412</v>
      </c>
      <c r="B360" s="6" t="str">
        <f>VLOOKUP(A360,'Exported Results'!A$282:D758,4,FALSE)</f>
        <v>Undetermined</v>
      </c>
      <c r="C360" s="6">
        <f t="shared" si="8"/>
        <v>40.1</v>
      </c>
      <c r="D360" s="3" t="str">
        <f>VLOOKUP(A360,'Exported Results'!A$282:D$641,2,FALSE)</f>
        <v/>
      </c>
      <c r="E360" s="14">
        <f>AVERAGE(C360:C362)</f>
        <v>40.1</v>
      </c>
      <c r="F360">
        <f>_xlfn.STDEV.P(C360:C362)</f>
        <v>0</v>
      </c>
    </row>
    <row r="361" spans="1:6" ht="14.25" x14ac:dyDescent="0.2">
      <c r="A361" s="8" t="s">
        <v>413</v>
      </c>
      <c r="B361" s="6" t="str">
        <f>VLOOKUP(A361,'Exported Results'!A$282:D759,4,FALSE)</f>
        <v>Undetermined</v>
      </c>
      <c r="C361" s="6">
        <f t="shared" si="8"/>
        <v>40.1</v>
      </c>
      <c r="D361" s="3" t="str">
        <f>VLOOKUP(A361,'Exported Results'!A$282:D$641,2,FALSE)</f>
        <v/>
      </c>
    </row>
    <row r="362" spans="1:6" ht="14.25" x14ac:dyDescent="0.2">
      <c r="A362" s="8" t="s">
        <v>414</v>
      </c>
      <c r="B362" s="6" t="str">
        <f>VLOOKUP(A362,'Exported Results'!A$282:D760,4,FALSE)</f>
        <v>Undetermined</v>
      </c>
      <c r="C362" s="6">
        <f t="shared" si="8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4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4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4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4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4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4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4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4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abSelected="1" topLeftCell="A31" workbookViewId="0">
      <selection activeCell="I40" sqref="I40:I41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>B33</f>
        <v>STD 10a</v>
      </c>
      <c r="B2">
        <f>C33</f>
        <v>32.270379384358726</v>
      </c>
      <c r="C2">
        <f>D33</f>
        <v>0.1254752715462272</v>
      </c>
      <c r="D2" s="10">
        <f>C2/B2</f>
        <v>3.888249036422682E-3</v>
      </c>
      <c r="E2">
        <v>0.1</v>
      </c>
      <c r="F2" s="9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33.343776702880859</v>
      </c>
      <c r="C3">
        <f t="shared" ref="C3" si="1">D34</f>
        <v>1.1119842529296875E-2</v>
      </c>
      <c r="D3" s="10">
        <f t="shared" ref="D3:D7" si="2">C3/B3</f>
        <v>3.3349079285119299E-4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35.071157455444336</v>
      </c>
      <c r="C4">
        <f t="shared" ref="C4" si="4">D35</f>
        <v>9.5930099487304688E-2</v>
      </c>
      <c r="D4" s="10">
        <f t="shared" si="2"/>
        <v>2.7352989307289828E-3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36.079327901204429</v>
      </c>
      <c r="C5">
        <f t="shared" ref="C5" si="5">D36</f>
        <v>0.65005508647731181</v>
      </c>
      <c r="D5" s="10">
        <f t="shared" si="2"/>
        <v>1.8017383479463626E-2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36.016374588012695</v>
      </c>
      <c r="C6">
        <f t="shared" ref="C6" si="6">D37</f>
        <v>0.30429649353027344</v>
      </c>
      <c r="D6" s="10">
        <f t="shared" si="2"/>
        <v>8.4488374249514896E-3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37.220500946044922</v>
      </c>
      <c r="C7">
        <f t="shared" ref="C7" si="7">D38</f>
        <v>0.64799880981445313</v>
      </c>
      <c r="D7" s="10">
        <f t="shared" si="2"/>
        <v>1.7409728331002218E-2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-3.2058098050125414</v>
      </c>
    </row>
    <row r="29" spans="1:7" x14ac:dyDescent="0.2">
      <c r="B29" s="13" t="s">
        <v>447</v>
      </c>
      <c r="C29" s="13">
        <f>10^(-1/C28)</f>
        <v>2.0508489015663822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Workspace'!D3</f>
        <v>Blank 1.a</v>
      </c>
      <c r="C32" s="9">
        <f>'Results Workspace'!E3</f>
        <v>40.1</v>
      </c>
      <c r="D32" s="9">
        <f>'Results Workspace'!F3</f>
        <v>0</v>
      </c>
      <c r="E32" s="10">
        <f>D32/C32</f>
        <v>0</v>
      </c>
      <c r="F32" s="9">
        <f>$C$29^($B$3-C32)</f>
        <v>7.8074014159804075E-3</v>
      </c>
      <c r="G32" s="9"/>
    </row>
    <row r="33" spans="2:7" x14ac:dyDescent="0.2">
      <c r="B33" t="str">
        <f>'Results Workspace'!D6</f>
        <v>STD 10a</v>
      </c>
      <c r="C33" s="9">
        <f>'Results Workspace'!E6</f>
        <v>32.270379384358726</v>
      </c>
      <c r="D33" s="9">
        <f>'Results Workspace'!F6</f>
        <v>0.1254752715462272</v>
      </c>
      <c r="E33" s="10">
        <f>D33/C33</f>
        <v>3.888249036422682E-3</v>
      </c>
      <c r="F33" s="9">
        <f>$C$29^($B$3-C33)</f>
        <v>2.1618659383300325</v>
      </c>
      <c r="G33" s="9"/>
    </row>
    <row r="34" spans="2:7" x14ac:dyDescent="0.2">
      <c r="B34" t="str">
        <f>'Results Workspace'!D9</f>
        <v>STD 20a</v>
      </c>
      <c r="C34" s="9">
        <f>'Results Workspace'!E9</f>
        <v>33.343776702880859</v>
      </c>
      <c r="D34" s="9">
        <f>'Results Workspace'!F9</f>
        <v>1.1119842529296875E-2</v>
      </c>
      <c r="E34" s="10">
        <f>D34/C34</f>
        <v>3.3349079285119299E-4</v>
      </c>
      <c r="F34" s="9">
        <f>$C$29^($B$3-C34)</f>
        <v>1</v>
      </c>
      <c r="G34" s="9"/>
    </row>
    <row r="35" spans="2:7" x14ac:dyDescent="0.2">
      <c r="B35" t="str">
        <f>'Results Workspace'!D12</f>
        <v>STD 40a</v>
      </c>
      <c r="C35" s="9">
        <f>'Results Workspace'!E12</f>
        <v>35.071157455444336</v>
      </c>
      <c r="D35" s="9">
        <f>'Results Workspace'!F12</f>
        <v>9.5930099487304688E-2</v>
      </c>
      <c r="E35" s="10">
        <f>D35/C35</f>
        <v>2.7352989307289828E-3</v>
      </c>
      <c r="F35" s="9">
        <f>$C$29^($B$3-C35)</f>
        <v>0.28918235620668192</v>
      </c>
      <c r="G35" s="9"/>
    </row>
    <row r="36" spans="2:7" x14ac:dyDescent="0.2">
      <c r="B36" t="str">
        <f>'Results Workspace'!D15</f>
        <v>STD 80a</v>
      </c>
      <c r="C36" s="9">
        <f>'Results Workspace'!E15</f>
        <v>36.079327901204429</v>
      </c>
      <c r="D36" s="9">
        <f>'Results Workspace'!F15</f>
        <v>0.65005508647731181</v>
      </c>
      <c r="E36" s="10">
        <f>D36/C36</f>
        <v>1.8017383479463626E-2</v>
      </c>
      <c r="F36" s="9">
        <f>$C$29^($B$3-C36)</f>
        <v>0.1401811086686337</v>
      </c>
      <c r="G36" s="9"/>
    </row>
    <row r="37" spans="2:7" x14ac:dyDescent="0.2">
      <c r="B37" t="str">
        <f>'Results Workspace'!D18</f>
        <v>STD 160a</v>
      </c>
      <c r="C37" s="9">
        <f>'Results Workspace'!E18</f>
        <v>36.016374588012695</v>
      </c>
      <c r="D37" s="9">
        <f>'Results Workspace'!F18</f>
        <v>0.30429649353027344</v>
      </c>
      <c r="E37" s="10">
        <f t="shared" ref="E37:E45" si="8">D37/C37</f>
        <v>8.4488374249514896E-3</v>
      </c>
      <c r="F37" s="9">
        <f t="shared" ref="F37:F46" si="9">$C$29^($B$3-C37)</f>
        <v>0.14666508831815706</v>
      </c>
      <c r="G37" s="9"/>
    </row>
    <row r="38" spans="2:7" x14ac:dyDescent="0.2">
      <c r="B38" t="str">
        <f>'Results Workspace'!D21</f>
        <v>STD 320a</v>
      </c>
      <c r="C38" s="9">
        <f>'Results Workspace'!E21</f>
        <v>37.220500946044922</v>
      </c>
      <c r="D38" s="9">
        <f>'Results Workspace'!F21</f>
        <v>0.64799880981445313</v>
      </c>
      <c r="E38" s="10">
        <f t="shared" si="8"/>
        <v>1.7409728331002218E-2</v>
      </c>
      <c r="F38" s="9">
        <f t="shared" si="9"/>
        <v>6.1761694206862776E-2</v>
      </c>
      <c r="G38" s="9"/>
    </row>
    <row r="39" spans="2:7" x14ac:dyDescent="0.2">
      <c r="B39" t="str">
        <f>'Results Workspace'!D24</f>
        <v>C1.a</v>
      </c>
      <c r="C39" s="9">
        <f>'Results Workspace'!E24</f>
        <v>35.532424926757813</v>
      </c>
      <c r="D39" s="9">
        <f>'Results Workspace'!F24</f>
        <v>0.56129445108870135</v>
      </c>
      <c r="E39" s="10">
        <f t="shared" si="8"/>
        <v>1.5796682952139769E-2</v>
      </c>
      <c r="F39" s="9">
        <f t="shared" si="9"/>
        <v>0.20762848704516088</v>
      </c>
      <c r="G39" s="9">
        <f>F39/'Housekeeper summary'!$E$4</f>
        <v>0.46080022601012632</v>
      </c>
    </row>
    <row r="40" spans="2:7" x14ac:dyDescent="0.2">
      <c r="B40" t="str">
        <f>'Results Workspace'!D27</f>
        <v>C2.a</v>
      </c>
      <c r="C40" s="9">
        <f>'Results Workspace'!E27</f>
        <v>34.937532424926758</v>
      </c>
      <c r="D40" s="9">
        <f>'Results Workspace'!F27</f>
        <v>0.31530952453613281</v>
      </c>
      <c r="E40" s="10">
        <f t="shared" si="8"/>
        <v>9.0249511814741116E-3</v>
      </c>
      <c r="F40" s="9">
        <f t="shared" si="9"/>
        <v>0.318312678740649</v>
      </c>
      <c r="G40" s="9">
        <f>F40/'Housekeeper summary'!$E$4</f>
        <v>0.70644715661621138</v>
      </c>
    </row>
    <row r="41" spans="2:7" x14ac:dyDescent="0.2">
      <c r="B41" t="str">
        <f>'Results Workspace'!D30</f>
        <v>C3.a</v>
      </c>
      <c r="C41" s="9">
        <f>'Results Workspace'!E30</f>
        <v>35.105300903320313</v>
      </c>
      <c r="D41" s="9">
        <f>'Results Workspace'!F30</f>
        <v>0.2410430908203125</v>
      </c>
      <c r="E41" s="10">
        <f t="shared" si="8"/>
        <v>6.8662875582278307E-3</v>
      </c>
      <c r="F41" s="9">
        <f t="shared" si="9"/>
        <v>0.28217679809138946</v>
      </c>
      <c r="G41" s="9">
        <f>F41/'Housekeeper summary'!$E$4</f>
        <v>0.62624899976776349</v>
      </c>
    </row>
    <row r="42" spans="2:7" x14ac:dyDescent="0.2">
      <c r="B42" t="str">
        <f>'Results Workspace'!D33</f>
        <v>C4.a</v>
      </c>
      <c r="C42" s="9">
        <f>'Results Workspace'!E33</f>
        <v>34.758829116821289</v>
      </c>
      <c r="D42" s="9">
        <f>'Results Workspace'!F33</f>
        <v>0.19330406188964844</v>
      </c>
      <c r="E42" s="10">
        <f t="shared" si="8"/>
        <v>5.5612938295467587E-3</v>
      </c>
      <c r="F42" s="9">
        <f t="shared" si="9"/>
        <v>0.36190744318314205</v>
      </c>
      <c r="G42" s="9">
        <f>F42/'Housekeeper summary'!$E$4</f>
        <v>0.80319918517378408</v>
      </c>
    </row>
    <row r="43" spans="2:7" x14ac:dyDescent="0.2">
      <c r="B43" t="str">
        <f>'Results Workspace'!D36</f>
        <v>C5.a</v>
      </c>
      <c r="C43" s="9">
        <f>'Results Workspace'!E36</f>
        <v>34.734580993652344</v>
      </c>
      <c r="D43" s="9">
        <f>'Results Workspace'!F36</f>
        <v>0.30491776547107435</v>
      </c>
      <c r="E43" s="10">
        <f t="shared" si="8"/>
        <v>8.7785070885639093E-3</v>
      </c>
      <c r="F43" s="9">
        <f t="shared" si="9"/>
        <v>0.36826574255445826</v>
      </c>
      <c r="G43" s="9">
        <f>F43/'Housekeeper summary'!$E$4</f>
        <v>0.81731047514675048</v>
      </c>
    </row>
    <row r="44" spans="2:7" x14ac:dyDescent="0.2">
      <c r="B44" t="str">
        <f>'Results Workspace'!D39</f>
        <v>C6.a</v>
      </c>
      <c r="C44" s="9">
        <f>'Results Workspace'!E39</f>
        <v>34.897055308024086</v>
      </c>
      <c r="D44" s="9">
        <f>'Results Workspace'!F39</f>
        <v>0.27967394496506154</v>
      </c>
      <c r="E44" s="10">
        <f t="shared" si="8"/>
        <v>8.0142562888609811E-3</v>
      </c>
      <c r="F44" s="9">
        <f t="shared" si="9"/>
        <v>0.32770277029809519</v>
      </c>
      <c r="G44" s="9">
        <f>F44/'Housekeeper summary'!$E$4</f>
        <v>0.72728705374933378</v>
      </c>
    </row>
    <row r="45" spans="2:7" x14ac:dyDescent="0.2">
      <c r="B45" t="str">
        <f>'Results Workspace'!D42</f>
        <v>C7.a</v>
      </c>
      <c r="C45" s="9">
        <f>'Results Workspace'!E42</f>
        <v>33.999233245849609</v>
      </c>
      <c r="D45" s="9">
        <f>'Results Workspace'!F42</f>
        <v>9.2967987060546875E-2</v>
      </c>
      <c r="E45" s="10">
        <f t="shared" si="8"/>
        <v>2.7344142260001042E-3</v>
      </c>
      <c r="F45" s="9">
        <f t="shared" si="9"/>
        <v>0.62451236080004924</v>
      </c>
      <c r="G45" s="9">
        <f>F45/'Housekeeper summary'!$E$4</f>
        <v>1.3860113373565486</v>
      </c>
    </row>
    <row r="46" spans="2:7" x14ac:dyDescent="0.2">
      <c r="B46" t="str">
        <f>'Results Workspace'!D45</f>
        <v>C8.a</v>
      </c>
      <c r="C46" s="9">
        <f>'Results Workspace'!E45</f>
        <v>34.287827809651695</v>
      </c>
      <c r="D46" s="9">
        <f>'Results Workspace'!F45</f>
        <v>0.77317811725080732</v>
      </c>
      <c r="E46" s="10">
        <f>D46/C46</f>
        <v>2.2549638359801991E-2</v>
      </c>
      <c r="F46" s="9">
        <f t="shared" si="9"/>
        <v>0.50759657009316062</v>
      </c>
      <c r="G46" s="9">
        <f>F46/'Housekeeper summary'!$E$4</f>
        <v>1.126534309186668</v>
      </c>
    </row>
    <row r="47" spans="2:7" x14ac:dyDescent="0.2">
      <c r="B47" t="str">
        <f>'Results Workspace'!D48</f>
        <v>C9.a</v>
      </c>
      <c r="C47" s="9">
        <f>'Results Workspace'!E48</f>
        <v>34.24798583984375</v>
      </c>
      <c r="D47" s="9">
        <f>'Results Workspace'!F48</f>
        <v>8.9954376220703125E-2</v>
      </c>
      <c r="E47" s="10">
        <f t="shared" ref="E47:E55" si="10">D47/C47</f>
        <v>2.6265596067857264E-3</v>
      </c>
      <c r="F47" s="9">
        <f t="shared" ref="F47:F55" si="11">$C$29^($B$3-C47)</f>
        <v>0.52233211706453608</v>
      </c>
      <c r="G47" s="9">
        <f>F47/'Housekeeper summary'!$E$4</f>
        <v>1.1592376413325873</v>
      </c>
    </row>
    <row r="48" spans="2:7" x14ac:dyDescent="0.2">
      <c r="B48" t="str">
        <f>'Results Workspace'!D51</f>
        <v>O1.a</v>
      </c>
      <c r="C48" s="9">
        <f>'Results Workspace'!E51</f>
        <v>34.976985931396484</v>
      </c>
      <c r="D48" s="9">
        <f>'Results Workspace'!F51</f>
        <v>0.34854649087896927</v>
      </c>
      <c r="E48" s="10">
        <f t="shared" si="10"/>
        <v>9.965023617604013E-3</v>
      </c>
      <c r="F48" s="9">
        <f t="shared" si="11"/>
        <v>0.30941905865512287</v>
      </c>
      <c r="G48" s="9">
        <f>F48/'Housekeeper summary'!$E$4</f>
        <v>0.68670910330868407</v>
      </c>
    </row>
    <row r="49" spans="2:7" x14ac:dyDescent="0.2">
      <c r="B49" t="str">
        <f>'Results Workspace'!D54</f>
        <v>O2.a</v>
      </c>
      <c r="C49" s="9">
        <f>'Results Workspace'!E54</f>
        <v>34.805932998657227</v>
      </c>
      <c r="D49" s="9">
        <f>'Results Workspace'!F54</f>
        <v>4.6888351440429688E-2</v>
      </c>
      <c r="E49" s="10">
        <f t="shared" si="10"/>
        <v>1.3471367494225363E-3</v>
      </c>
      <c r="F49" s="9">
        <f t="shared" si="11"/>
        <v>0.3498680050500888</v>
      </c>
      <c r="G49" s="9">
        <f>F49/'Housekeeper summary'!$E$4</f>
        <v>0.77647946144175506</v>
      </c>
    </row>
    <row r="50" spans="2:7" x14ac:dyDescent="0.2">
      <c r="B50" t="str">
        <f>'Results Workspace'!D57</f>
        <v>O3.a</v>
      </c>
      <c r="C50" s="9">
        <f>'Results Workspace'!E57</f>
        <v>35.699053446451821</v>
      </c>
      <c r="D50" s="9">
        <f>'Results Workspace'!F57</f>
        <v>0.34663973551124289</v>
      </c>
      <c r="E50" s="10">
        <f t="shared" si="10"/>
        <v>9.7100539663103006E-3</v>
      </c>
      <c r="F50" s="9">
        <f t="shared" si="11"/>
        <v>0.18420859690160424</v>
      </c>
      <c r="G50" s="9">
        <f>F50/'Housekeeper summary'!$E$4</f>
        <v>0.40882329921714772</v>
      </c>
    </row>
    <row r="51" spans="2:7" x14ac:dyDescent="0.2">
      <c r="B51" t="str">
        <f>'Results Workspace'!D60</f>
        <v>O4.a</v>
      </c>
      <c r="C51" s="9">
        <f>'Results Workspace'!E60</f>
        <v>34.94886906941732</v>
      </c>
      <c r="D51" s="9">
        <f>'Results Workspace'!F60</f>
        <v>5.4155126431833067E-2</v>
      </c>
      <c r="E51" s="10">
        <f t="shared" si="10"/>
        <v>1.5495530434552045E-3</v>
      </c>
      <c r="F51" s="9">
        <f t="shared" si="11"/>
        <v>0.31573131348594363</v>
      </c>
      <c r="G51" s="9">
        <f>F51/'Housekeeper summary'!$E$4</f>
        <v>0.70071820434327881</v>
      </c>
    </row>
    <row r="52" spans="2:7" x14ac:dyDescent="0.2">
      <c r="B52" t="str">
        <f>'Results Workspace'!D63</f>
        <v>O5.a</v>
      </c>
      <c r="C52" s="9">
        <f>'Results Workspace'!E63</f>
        <v>35.517793019612633</v>
      </c>
      <c r="D52" s="9">
        <f>'Results Workspace'!F63</f>
        <v>0.36742901843812081</v>
      </c>
      <c r="E52" s="10">
        <f t="shared" si="10"/>
        <v>1.0344928195150795E-2</v>
      </c>
      <c r="F52" s="9">
        <f t="shared" si="11"/>
        <v>0.20982204898647222</v>
      </c>
      <c r="G52" s="9">
        <f>F52/'Housekeeper summary'!$E$4</f>
        <v>0.46566850710540597</v>
      </c>
    </row>
    <row r="53" spans="2:7" x14ac:dyDescent="0.2">
      <c r="B53" t="str">
        <f>'Results Workspace'!D66</f>
        <v>O6.a</v>
      </c>
      <c r="C53" s="9">
        <f>'Results Workspace'!E66</f>
        <v>35.54215876261393</v>
      </c>
      <c r="D53" s="9">
        <f>'Results Workspace'!F66</f>
        <v>0.36314545862383346</v>
      </c>
      <c r="E53" s="10">
        <f t="shared" si="10"/>
        <v>1.0217315753083033E-2</v>
      </c>
      <c r="F53" s="9">
        <f t="shared" si="11"/>
        <v>0.20618194313099644</v>
      </c>
      <c r="G53" s="9">
        <f>F53/'Housekeeper summary'!$E$4</f>
        <v>0.45758983916934776</v>
      </c>
    </row>
    <row r="54" spans="2:7" x14ac:dyDescent="0.2">
      <c r="B54" t="str">
        <f>'Results Workspace'!D69</f>
        <v>O7.a</v>
      </c>
      <c r="C54" s="9">
        <f>'Results Workspace'!E69</f>
        <v>35.389189402262367</v>
      </c>
      <c r="D54" s="9">
        <f>'Results Workspace'!F69</f>
        <v>0.32066705541718871</v>
      </c>
      <c r="E54" s="10">
        <f t="shared" si="10"/>
        <v>9.0611585298613542E-3</v>
      </c>
      <c r="F54" s="9">
        <f t="shared" si="11"/>
        <v>0.23012665316585743</v>
      </c>
      <c r="G54" s="9">
        <f>F54/'Housekeeper summary'!$E$4</f>
        <v>0.51073152484473849</v>
      </c>
    </row>
    <row r="55" spans="2:7" x14ac:dyDescent="0.2">
      <c r="B55" t="str">
        <f>'Results Workspace'!D72</f>
        <v>O8.a</v>
      </c>
      <c r="C55" s="9">
        <f>'Results Workspace'!E72</f>
        <v>34.913682301839195</v>
      </c>
      <c r="D55" s="9">
        <f>'Results Workspace'!F72</f>
        <v>0.2407515998862812</v>
      </c>
      <c r="E55" s="10">
        <f t="shared" si="10"/>
        <v>6.8956232632499722E-3</v>
      </c>
      <c r="F55" s="9">
        <f t="shared" si="11"/>
        <v>0.32381248810664293</v>
      </c>
      <c r="G55" s="9">
        <f>F55/'Housekeeper summary'!$E$4</f>
        <v>0.71865315703036159</v>
      </c>
    </row>
    <row r="56" spans="2:7" x14ac:dyDescent="0.2">
      <c r="B56" t="str">
        <f>'Results Workspace'!D75</f>
        <v>O9.a</v>
      </c>
      <c r="C56" s="9">
        <f>'Results Workspace'!E75</f>
        <v>35.288603464762367</v>
      </c>
      <c r="D56" s="9">
        <f>'Results Workspace'!F75</f>
        <v>0.27618086183074536</v>
      </c>
      <c r="E56" s="10">
        <f t="shared" ref="E56:E62" si="12">D56/C56</f>
        <v>7.8263471691796278E-3</v>
      </c>
      <c r="F56" s="9">
        <f t="shared" ref="F56:F62" si="13">$C$29^($B$3-C56)</f>
        <v>0.24736774009394305</v>
      </c>
      <c r="G56" s="9">
        <f>F56/'Housekeeper summary'!$E$4</f>
        <v>0.54899552640919658</v>
      </c>
    </row>
    <row r="57" spans="2:7" x14ac:dyDescent="0.2">
      <c r="B57" t="str">
        <f>'Results Workspace'!D78</f>
        <v>P1.a</v>
      </c>
      <c r="C57" s="9">
        <f>'Results Workspace'!E78</f>
        <v>35.159084320068359</v>
      </c>
      <c r="D57" s="9">
        <f>'Results Workspace'!F78</f>
        <v>6.3552944142073881E-2</v>
      </c>
      <c r="E57" s="10">
        <f t="shared" si="12"/>
        <v>1.8075824604396385E-3</v>
      </c>
      <c r="F57" s="9">
        <f t="shared" si="13"/>
        <v>0.27148412719953924</v>
      </c>
      <c r="G57" s="9">
        <f>F57/'Housekeeper summary'!$E$4</f>
        <v>0.60251822354463003</v>
      </c>
    </row>
    <row r="58" spans="2:7" x14ac:dyDescent="0.2">
      <c r="B58" t="str">
        <f>'Results Workspace'!D81</f>
        <v>P2.a</v>
      </c>
      <c r="C58" s="9">
        <f>'Results Workspace'!E81</f>
        <v>35.849908828735352</v>
      </c>
      <c r="D58" s="9">
        <f>'Results Workspace'!F81</f>
        <v>0.16911125183105469</v>
      </c>
      <c r="E58" s="10">
        <f t="shared" si="12"/>
        <v>4.717201726758765E-3</v>
      </c>
      <c r="F58" s="9">
        <f t="shared" si="13"/>
        <v>0.16529245208205789</v>
      </c>
      <c r="G58" s="9">
        <f>F58/'Housekeeper summary'!$E$4</f>
        <v>0.36684175837881705</v>
      </c>
    </row>
    <row r="59" spans="2:7" x14ac:dyDescent="0.2">
      <c r="B59" t="str">
        <f>'Results Workspace'!D84</f>
        <v>P3.a</v>
      </c>
      <c r="C59" s="9">
        <f>'Results Workspace'!E84</f>
        <v>35.123682022094727</v>
      </c>
      <c r="D59" s="9">
        <f>'Results Workspace'!F84</f>
        <v>4.0781021118164063E-2</v>
      </c>
      <c r="E59" s="10">
        <f t="shared" si="12"/>
        <v>1.1610690784784625E-3</v>
      </c>
      <c r="F59" s="9">
        <f t="shared" si="13"/>
        <v>0.27847589692276503</v>
      </c>
      <c r="G59" s="9">
        <f>F59/'Housekeeper summary'!$E$4</f>
        <v>0.61803540577007499</v>
      </c>
    </row>
    <row r="60" spans="2:7" x14ac:dyDescent="0.2">
      <c r="B60" t="str">
        <f>'Results Workspace'!D87</f>
        <v>P4.a</v>
      </c>
      <c r="C60" s="9">
        <f>'Results Workspace'!E87</f>
        <v>35.280927022298179</v>
      </c>
      <c r="D60" s="9">
        <f>'Results Workspace'!F87</f>
        <v>0.1658929192640255</v>
      </c>
      <c r="E60" s="10">
        <f t="shared" si="12"/>
        <v>4.7020566993372422E-3</v>
      </c>
      <c r="F60" s="9">
        <f t="shared" si="13"/>
        <v>0.24873540220925977</v>
      </c>
      <c r="G60" s="9">
        <f>F60/'Housekeeper summary'!$E$4</f>
        <v>0.55203084695124893</v>
      </c>
    </row>
    <row r="61" spans="2:7" x14ac:dyDescent="0.2">
      <c r="B61" t="str">
        <f>'Results Workspace'!D90</f>
        <v>P5.a</v>
      </c>
      <c r="C61" s="9">
        <f>'Results Workspace'!E90</f>
        <v>35.588063557942711</v>
      </c>
      <c r="D61" s="9">
        <f>'Results Workspace'!F90</f>
        <v>0.13915818702873464</v>
      </c>
      <c r="E61" s="10">
        <f t="shared" si="12"/>
        <v>3.9102489182128225E-3</v>
      </c>
      <c r="F61" s="9">
        <f t="shared" si="13"/>
        <v>0.19949470689355767</v>
      </c>
      <c r="G61" s="9">
        <f>F61/'Housekeeper summary'!$E$4</f>
        <v>0.4427485232524011</v>
      </c>
    </row>
    <row r="62" spans="2:7" x14ac:dyDescent="0.2">
      <c r="B62" t="str">
        <f>'Results Workspace'!D93</f>
        <v>P6.a</v>
      </c>
      <c r="C62" s="9">
        <f>'Results Workspace'!E93</f>
        <v>35.48028564453125</v>
      </c>
      <c r="D62" s="9">
        <f>'Results Workspace'!F93</f>
        <v>0.44728000472559376</v>
      </c>
      <c r="E62" s="10">
        <f t="shared" si="12"/>
        <v>1.2606437535672298E-2</v>
      </c>
      <c r="F62" s="9">
        <f t="shared" si="13"/>
        <v>0.21555144406214991</v>
      </c>
      <c r="G62" s="9">
        <f>F62/'Housekeeper summary'!$E$4</f>
        <v>0.47838403850163169</v>
      </c>
    </row>
    <row r="63" spans="2:7" x14ac:dyDescent="0.2">
      <c r="B63" t="str">
        <f>'Results Workspace'!D96</f>
        <v>P7.a</v>
      </c>
      <c r="C63" s="9">
        <f>'Results Workspace'!E96</f>
        <v>34.274692535400391</v>
      </c>
      <c r="D63" s="9">
        <f>'Results Workspace'!F96</f>
        <v>0.32272720336914063</v>
      </c>
      <c r="E63" s="10">
        <f t="shared" ref="E63:E64" si="14">D63/C63</f>
        <v>9.4159036739954408E-3</v>
      </c>
      <c r="F63" s="9">
        <f t="shared" ref="F63:F64" si="15">$C$29^($B$3-C63)</f>
        <v>0.51240813155013176</v>
      </c>
      <c r="G63" s="9">
        <f>F63/'Housekeeper summary'!$E$4</f>
        <v>1.1372128467919227</v>
      </c>
    </row>
    <row r="64" spans="2:7" x14ac:dyDescent="0.2">
      <c r="B64" t="str">
        <f>'Results Workspace'!D99</f>
        <v>P8.a</v>
      </c>
      <c r="C64" s="9">
        <f>'Results Workspace'!E99</f>
        <v>34.586012522379555</v>
      </c>
      <c r="D64" s="9">
        <f>'Results Workspace'!F99</f>
        <v>0.40268471666479083</v>
      </c>
      <c r="E64" s="10">
        <f t="shared" si="14"/>
        <v>1.1642993432799627E-2</v>
      </c>
      <c r="F64" s="9">
        <f t="shared" si="15"/>
        <v>0.40973666545698723</v>
      </c>
      <c r="G64" s="9">
        <f>F64/'Housekeeper summary'!$E$4</f>
        <v>0.9093489565627294</v>
      </c>
    </row>
    <row r="65" spans="2:7" x14ac:dyDescent="0.2">
      <c r="B65" t="str">
        <f>'Results Workspace'!D102</f>
        <v>P9.a</v>
      </c>
      <c r="C65" s="9">
        <f>'Results Workspace'!E102</f>
        <v>35.657540639241539</v>
      </c>
      <c r="D65" s="9">
        <f>'Results Workspace'!F102</f>
        <v>0.28091251398159545</v>
      </c>
      <c r="E65" s="10">
        <f t="shared" ref="E65" si="16">D65/C65</f>
        <v>7.878067554452927E-3</v>
      </c>
      <c r="F65" s="9">
        <f t="shared" ref="F65" si="17">$C$29^($B$3-C65)</f>
        <v>0.18978379934148454</v>
      </c>
      <c r="G65" s="9">
        <f>F65/'Housekeeper summary'!$E$4</f>
        <v>0.42119662322923407</v>
      </c>
    </row>
    <row r="66" spans="2:7" x14ac:dyDescent="0.2">
      <c r="C66" s="9"/>
      <c r="D66" s="9"/>
      <c r="E66" s="10"/>
      <c r="F66" s="9"/>
      <c r="G66" s="11"/>
    </row>
    <row r="67" spans="2:7" x14ac:dyDescent="0.2">
      <c r="C67" s="9"/>
      <c r="D67" s="9"/>
      <c r="E67" s="10"/>
      <c r="F67" s="9"/>
      <c r="G67" s="11"/>
    </row>
    <row r="68" spans="2:7" x14ac:dyDescent="0.2">
      <c r="C68" s="9"/>
      <c r="D68" s="9"/>
      <c r="E68" s="10"/>
      <c r="F68" s="9"/>
      <c r="G68" s="11"/>
    </row>
    <row r="69" spans="2:7" x14ac:dyDescent="0.2">
      <c r="C69" s="9"/>
      <c r="D69" s="9"/>
      <c r="E69" s="10"/>
      <c r="F69" s="9"/>
      <c r="G69" s="11"/>
    </row>
    <row r="70" spans="2:7" x14ac:dyDescent="0.2">
      <c r="C70" s="9"/>
      <c r="D70" s="9"/>
      <c r="E70" s="10"/>
      <c r="F70" s="9"/>
      <c r="G70" s="11"/>
    </row>
    <row r="71" spans="2:7" x14ac:dyDescent="0.2">
      <c r="C71" s="9"/>
      <c r="D71" s="9"/>
      <c r="E71" s="10"/>
      <c r="F71" s="9"/>
      <c r="G71" s="11"/>
    </row>
    <row r="72" spans="2:7" x14ac:dyDescent="0.2">
      <c r="C72" s="9"/>
      <c r="D72" s="9"/>
      <c r="E72" s="10"/>
      <c r="F72" s="9"/>
      <c r="G72" s="11"/>
    </row>
    <row r="73" spans="2:7" x14ac:dyDescent="0.2">
      <c r="C73" s="9"/>
      <c r="D73" s="9"/>
      <c r="E73" s="10"/>
      <c r="F73" s="9"/>
      <c r="G73" s="11"/>
    </row>
    <row r="74" spans="2:7" x14ac:dyDescent="0.2">
      <c r="C74" s="9"/>
      <c r="D74" s="9"/>
      <c r="E74" s="10"/>
      <c r="F74" s="9"/>
      <c r="G74" s="11"/>
    </row>
    <row r="75" spans="2:7" x14ac:dyDescent="0.2">
      <c r="C75" s="9"/>
      <c r="D75" s="9"/>
      <c r="E75" s="10"/>
      <c r="F75" s="9"/>
      <c r="G75" s="11"/>
    </row>
    <row r="76" spans="2:7" x14ac:dyDescent="0.2">
      <c r="C76" s="9"/>
      <c r="D76" s="9"/>
      <c r="E76" s="10"/>
      <c r="F76" s="9"/>
      <c r="G76" s="11"/>
    </row>
    <row r="77" spans="2:7" x14ac:dyDescent="0.2">
      <c r="C77" s="9"/>
      <c r="D77" s="9"/>
      <c r="E77" s="10"/>
      <c r="F77" s="9"/>
      <c r="G77" s="11"/>
    </row>
    <row r="78" spans="2:7" x14ac:dyDescent="0.2">
      <c r="C78" s="9"/>
      <c r="D78" s="9"/>
      <c r="E78" s="10"/>
      <c r="F78" s="11"/>
      <c r="G78" s="11"/>
    </row>
    <row r="79" spans="2:7" x14ac:dyDescent="0.2">
      <c r="C79" s="9"/>
      <c r="D79" s="9"/>
      <c r="E79" s="10"/>
      <c r="F79" s="11"/>
      <c r="G79" s="11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topLeftCell="A10" workbookViewId="0">
      <selection activeCell="G69" sqref="G69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2" si="0">B33</f>
        <v>STD 10a</v>
      </c>
      <c r="B2">
        <f t="shared" si="0"/>
        <v>23.054658253987629</v>
      </c>
      <c r="C2">
        <f t="shared" si="0"/>
        <v>0.19535802148237902</v>
      </c>
      <c r="D2" s="10">
        <f>C2/B2</f>
        <v>8.4736897563245858E-3</v>
      </c>
      <c r="E2">
        <v>0.1</v>
      </c>
      <c r="F2" s="9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24.267371495564777</v>
      </c>
      <c r="C3">
        <f t="shared" si="1"/>
        <v>1.4290010432539713E-2</v>
      </c>
      <c r="D3" s="10">
        <f t="shared" ref="D3:D7" si="2">C3/B3</f>
        <v>5.8885695284927844E-4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25.346165657043457</v>
      </c>
      <c r="C4">
        <f t="shared" si="4"/>
        <v>1.5427589416503906E-2</v>
      </c>
      <c r="D4" s="10">
        <f t="shared" si="2"/>
        <v>6.0867547483328026E-4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26.28581714630127</v>
      </c>
      <c r="C5">
        <f t="shared" si="5"/>
        <v>1.6984939575195313E-3</v>
      </c>
      <c r="D5" s="10">
        <f t="shared" si="2"/>
        <v>6.4616365094000123E-5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27.511431694030762</v>
      </c>
      <c r="C6">
        <f t="shared" si="6"/>
        <v>4.6434402465820313E-3</v>
      </c>
      <c r="D6" s="10">
        <f t="shared" si="2"/>
        <v>1.6878221018172356E-4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28.530122756958008</v>
      </c>
      <c r="C7">
        <f t="shared" si="7"/>
        <v>7.4975162610052742E-2</v>
      </c>
      <c r="D7" s="10">
        <f t="shared" si="2"/>
        <v>2.6279298988213288E-3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-3.61133016145192</v>
      </c>
    </row>
    <row r="29" spans="1:7" x14ac:dyDescent="0.2">
      <c r="B29" s="13" t="s">
        <v>447</v>
      </c>
      <c r="C29" s="13">
        <f>10^(-1/C28)</f>
        <v>1.8919352971787777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Workspace'!D123</f>
        <v>Blank 1.a</v>
      </c>
      <c r="C32" s="9">
        <f>'Results Workspace'!E123</f>
        <v>40.1</v>
      </c>
      <c r="D32" s="9">
        <f>'Results Workspace'!F123</f>
        <v>0</v>
      </c>
      <c r="E32" s="10">
        <f>D32/C32</f>
        <v>0</v>
      </c>
      <c r="F32" s="9">
        <f>$C$29^($B$3-C32)</f>
        <v>4.1290081678703398E-5</v>
      </c>
      <c r="G32" s="9"/>
    </row>
    <row r="33" spans="2:9" x14ac:dyDescent="0.2">
      <c r="B33" t="str">
        <f>'Results Workspace'!D126</f>
        <v>STD 10a</v>
      </c>
      <c r="C33" s="9">
        <f>'Results Workspace'!E126</f>
        <v>23.054658253987629</v>
      </c>
      <c r="D33" s="9">
        <f>'Results Workspace'!F126</f>
        <v>0.19535802148237902</v>
      </c>
      <c r="E33" s="10">
        <f>D33/C33</f>
        <v>8.4736897563245858E-3</v>
      </c>
      <c r="F33" s="9">
        <f>$C$29^($B$3-C33)</f>
        <v>2.1667455442526586</v>
      </c>
      <c r="G33" s="9"/>
    </row>
    <row r="34" spans="2:9" x14ac:dyDescent="0.2">
      <c r="B34" t="str">
        <f>'Results Workspace'!D129</f>
        <v>STD 20a</v>
      </c>
      <c r="C34" s="9">
        <f>'Results Workspace'!E129</f>
        <v>24.267371495564777</v>
      </c>
      <c r="D34" s="9">
        <f>'Results Workspace'!F129</f>
        <v>1.4290010432539713E-2</v>
      </c>
      <c r="E34" s="10">
        <f>D34/C34</f>
        <v>5.8885695284927844E-4</v>
      </c>
      <c r="F34" s="9">
        <f>$C$29^($B$3-C34)</f>
        <v>1</v>
      </c>
      <c r="G34" s="9"/>
    </row>
    <row r="35" spans="2:9" x14ac:dyDescent="0.2">
      <c r="B35" t="str">
        <f>'Results Workspace'!D132</f>
        <v>STD 40a</v>
      </c>
      <c r="C35" s="9">
        <f>'Results Workspace'!E132</f>
        <v>25.346165657043457</v>
      </c>
      <c r="D35" s="9">
        <f>'Results Workspace'!F132</f>
        <v>1.5427589416503906E-2</v>
      </c>
      <c r="E35" s="10">
        <f>D35/C35</f>
        <v>6.0867547483328026E-4</v>
      </c>
      <c r="F35" s="9">
        <f>$C$29^($B$3-C35)</f>
        <v>0.50266092039518095</v>
      </c>
      <c r="G35" s="9"/>
    </row>
    <row r="36" spans="2:9" x14ac:dyDescent="0.2">
      <c r="B36" t="str">
        <f>'Results Workspace'!D135</f>
        <v>STD 80a</v>
      </c>
      <c r="C36" s="9">
        <f>'Results Workspace'!E135</f>
        <v>26.28581714630127</v>
      </c>
      <c r="D36" s="9">
        <f>'Results Workspace'!F135</f>
        <v>1.6984939575195313E-3</v>
      </c>
      <c r="E36" s="10">
        <f>D36/C36</f>
        <v>6.4616365094000123E-5</v>
      </c>
      <c r="F36" s="9">
        <f>$C$29^($B$3-C36)</f>
        <v>0.27610846652854321</v>
      </c>
      <c r="G36" s="9"/>
    </row>
    <row r="37" spans="2:9" x14ac:dyDescent="0.2">
      <c r="B37" t="str">
        <f>'Results Workspace'!D138</f>
        <v>STD 160a</v>
      </c>
      <c r="C37" s="9">
        <f>'Results Workspace'!E138</f>
        <v>27.511431694030762</v>
      </c>
      <c r="D37" s="9">
        <f>'Results Workspace'!F138</f>
        <v>4.6434402465820313E-3</v>
      </c>
      <c r="E37" s="10">
        <f t="shared" ref="E37:E45" si="8">D37/C37</f>
        <v>1.6878221018172356E-4</v>
      </c>
      <c r="F37" s="9">
        <f t="shared" ref="F37:F55" si="9">$C$29^($B$3-C37)</f>
        <v>0.12638611351707624</v>
      </c>
      <c r="G37" s="9"/>
    </row>
    <row r="38" spans="2:9" x14ac:dyDescent="0.2">
      <c r="B38" t="str">
        <f>'Results Workspace'!D141</f>
        <v>STD 320a</v>
      </c>
      <c r="C38" s="9">
        <f>'Results Workspace'!E141</f>
        <v>28.530122756958008</v>
      </c>
      <c r="D38" s="9">
        <f>'Results Workspace'!F141</f>
        <v>7.4975162610052742E-2</v>
      </c>
      <c r="E38" s="10">
        <f t="shared" si="8"/>
        <v>2.6279298988213288E-3</v>
      </c>
      <c r="F38" s="9">
        <f t="shared" si="9"/>
        <v>6.6011166395102766E-2</v>
      </c>
      <c r="G38" s="9"/>
    </row>
    <row r="39" spans="2:9" x14ac:dyDescent="0.2">
      <c r="B39" t="str">
        <f>'Results Workspace'!D144</f>
        <v>C1.a</v>
      </c>
      <c r="C39" s="9">
        <f>'Results Workspace'!E144</f>
        <v>24.491209030151367</v>
      </c>
      <c r="D39" s="9">
        <f>'Results Workspace'!F144</f>
        <v>0.27484703063964844</v>
      </c>
      <c r="E39" s="10">
        <f t="shared" si="8"/>
        <v>1.1222272869472534E-2</v>
      </c>
      <c r="F39" s="9">
        <f t="shared" si="9"/>
        <v>0.86699777118827903</v>
      </c>
      <c r="G39" s="9">
        <f>F39/'Housekeeper summary'!$E$4</f>
        <v>1.9241712666669746</v>
      </c>
    </row>
    <row r="40" spans="2:9" x14ac:dyDescent="0.2">
      <c r="B40" t="str">
        <f>'Results Workspace'!D147</f>
        <v>C2.a</v>
      </c>
      <c r="C40" s="9">
        <f>'Results Workspace'!E147</f>
        <v>24.839381217956543</v>
      </c>
      <c r="D40" s="9">
        <f>'Results Workspace'!F147</f>
        <v>0.17527675628662109</v>
      </c>
      <c r="E40" s="10">
        <f t="shared" si="8"/>
        <v>7.0564059043432383E-3</v>
      </c>
      <c r="F40" s="9">
        <f t="shared" si="9"/>
        <v>0.69439552883439781</v>
      </c>
      <c r="G40" s="9">
        <f>F40/'Housekeeper summary'!$E$4</f>
        <v>1.5411065272450497</v>
      </c>
    </row>
    <row r="41" spans="2:9" x14ac:dyDescent="0.2">
      <c r="B41" t="str">
        <f>'Results Workspace'!D150</f>
        <v>C3.a</v>
      </c>
      <c r="C41" s="9">
        <f>'Results Workspace'!E150</f>
        <v>25.282127380371094</v>
      </c>
      <c r="D41" s="9">
        <f>'Results Workspace'!F150</f>
        <v>0.12867869199811199</v>
      </c>
      <c r="E41" s="10">
        <f t="shared" si="8"/>
        <v>5.0897098199899678E-3</v>
      </c>
      <c r="F41" s="9">
        <f t="shared" si="9"/>
        <v>0.52360974787065995</v>
      </c>
      <c r="G41" s="9">
        <f>F41/'Housekeeper summary'!$E$4</f>
        <v>1.1620731509131745</v>
      </c>
      <c r="I41" t="s">
        <v>543</v>
      </c>
    </row>
    <row r="42" spans="2:9" x14ac:dyDescent="0.2">
      <c r="B42" t="str">
        <f>'Results Workspace'!D153</f>
        <v>C4.a</v>
      </c>
      <c r="C42" s="9">
        <f>'Results Workspace'!E153</f>
        <v>25.529138565063477</v>
      </c>
      <c r="D42" s="9">
        <f>'Results Workspace'!F153</f>
        <v>3.7654556175405515E-2</v>
      </c>
      <c r="E42" s="10">
        <f t="shared" si="8"/>
        <v>1.4749638370851895E-3</v>
      </c>
      <c r="F42" s="9">
        <f t="shared" si="9"/>
        <v>0.44731017257224132</v>
      </c>
      <c r="G42" s="9">
        <f>F42/'Housekeeper summary'!$E$4</f>
        <v>0.99273770931579586</v>
      </c>
    </row>
    <row r="43" spans="2:9" x14ac:dyDescent="0.2">
      <c r="B43" t="str">
        <f>'Results Workspace'!D156</f>
        <v>C5.a</v>
      </c>
      <c r="C43" s="9">
        <f>'Results Workspace'!E156</f>
        <v>25.66645622253418</v>
      </c>
      <c r="D43" s="9">
        <f>'Results Workspace'!F156</f>
        <v>0</v>
      </c>
      <c r="E43" s="10">
        <f t="shared" si="8"/>
        <v>0</v>
      </c>
      <c r="F43" s="9">
        <f t="shared" si="9"/>
        <v>0.40981198305483696</v>
      </c>
      <c r="G43" s="9">
        <f>F43/'Housekeeper summary'!$E$4</f>
        <v>0.9095161126529443</v>
      </c>
    </row>
    <row r="44" spans="2:9" x14ac:dyDescent="0.2">
      <c r="B44" t="str">
        <f>'Results Workspace'!D159</f>
        <v>C6.a</v>
      </c>
      <c r="C44" s="9">
        <f>'Results Workspace'!E159</f>
        <v>25.790849685668945</v>
      </c>
      <c r="D44" s="9">
        <f>'Results Workspace'!F159</f>
        <v>0.13875389099121094</v>
      </c>
      <c r="E44" s="10">
        <f t="shared" si="8"/>
        <v>5.379965867053675E-3</v>
      </c>
      <c r="F44" s="9">
        <f t="shared" si="9"/>
        <v>0.37856400893091208</v>
      </c>
      <c r="G44" s="9">
        <f>F44/'Housekeeper summary'!$E$4</f>
        <v>0.84016592981637017</v>
      </c>
    </row>
    <row r="45" spans="2:9" x14ac:dyDescent="0.2">
      <c r="B45" t="str">
        <f>'Results Workspace'!D162</f>
        <v>C7.a</v>
      </c>
      <c r="C45" s="9">
        <f>'Results Workspace'!E162</f>
        <v>25.514278411865234</v>
      </c>
      <c r="D45" s="9">
        <f>'Results Workspace'!F162</f>
        <v>7.35015869140625E-2</v>
      </c>
      <c r="E45" s="10">
        <f t="shared" si="8"/>
        <v>2.8808021033383843E-3</v>
      </c>
      <c r="F45" s="9">
        <f t="shared" si="9"/>
        <v>0.45156850551803918</v>
      </c>
      <c r="G45" s="9">
        <f>F45/'Housekeeper summary'!$E$4</f>
        <v>1.0021884393758922</v>
      </c>
    </row>
    <row r="46" spans="2:9" x14ac:dyDescent="0.2">
      <c r="B46" t="str">
        <f>'Results Workspace'!D165</f>
        <v>C8.a</v>
      </c>
      <c r="C46" s="9">
        <f>'Results Workspace'!E165</f>
        <v>25.047179539998371</v>
      </c>
      <c r="D46" s="9">
        <f>'Results Workspace'!F165</f>
        <v>0.13419460378499276</v>
      </c>
      <c r="E46" s="10">
        <f>D46/C46</f>
        <v>5.3576732490256858E-3</v>
      </c>
      <c r="F46" s="9">
        <f t="shared" si="9"/>
        <v>0.60822778476141237</v>
      </c>
      <c r="G46" s="9">
        <f>F46/'Housekeeper summary'!$E$4</f>
        <v>1.3498701679733185</v>
      </c>
    </row>
    <row r="47" spans="2:9" x14ac:dyDescent="0.2">
      <c r="B47" t="str">
        <f>'Results Workspace'!D168</f>
        <v>C9.a</v>
      </c>
      <c r="C47" s="9">
        <f>'Results Workspace'!E168</f>
        <v>24.740262985229492</v>
      </c>
      <c r="D47" s="9">
        <f>'Results Workspace'!F168</f>
        <v>0</v>
      </c>
      <c r="E47" s="10">
        <f t="shared" ref="E47:E55" si="10">D47/C47</f>
        <v>0</v>
      </c>
      <c r="F47" s="9">
        <f t="shared" si="9"/>
        <v>0.73969618166488937</v>
      </c>
      <c r="G47" s="9">
        <f>F47/'Housekeeper summary'!$E$4</f>
        <v>1.641644518730565</v>
      </c>
    </row>
    <row r="48" spans="2:9" x14ac:dyDescent="0.2">
      <c r="B48" t="str">
        <f>'Results Workspace'!D171</f>
        <v>O1.a</v>
      </c>
      <c r="C48" s="9">
        <f>'Results Workspace'!E171</f>
        <v>24.956590016682942</v>
      </c>
      <c r="D48" s="9">
        <f>'Results Workspace'!F171</f>
        <v>0.4044524112981871</v>
      </c>
      <c r="E48" s="10">
        <f t="shared" si="10"/>
        <v>1.6206236950954411E-2</v>
      </c>
      <c r="F48" s="9">
        <f t="shared" si="9"/>
        <v>0.64439336992541996</v>
      </c>
      <c r="G48" s="9">
        <f>F48/'Housekeeper summary'!$E$4</f>
        <v>1.4301342495284586</v>
      </c>
    </row>
    <row r="49" spans="2:7" x14ac:dyDescent="0.2">
      <c r="B49" t="str">
        <f>'Results Workspace'!D174</f>
        <v>O2.a</v>
      </c>
      <c r="C49" s="9">
        <f>'Results Workspace'!E174</f>
        <v>25.753615061442058</v>
      </c>
      <c r="D49" s="9">
        <f>'Results Workspace'!F174</f>
        <v>0.13618444591729059</v>
      </c>
      <c r="E49" s="10">
        <f t="shared" si="10"/>
        <v>5.2879739637478693E-3</v>
      </c>
      <c r="F49" s="9">
        <f t="shared" si="9"/>
        <v>0.38765895735760025</v>
      </c>
      <c r="G49" s="9">
        <f>F49/'Housekeeper summary'!$E$4</f>
        <v>0.86035080112286288</v>
      </c>
    </row>
    <row r="50" spans="2:7" x14ac:dyDescent="0.2">
      <c r="B50" t="str">
        <f>'Results Workspace'!D177</f>
        <v>O3.a</v>
      </c>
      <c r="C50" s="9">
        <f>'Results Workspace'!E177</f>
        <v>25.233519872029621</v>
      </c>
      <c r="D50" s="9">
        <f>'Results Workspace'!F177</f>
        <v>9.2336994910684228E-2</v>
      </c>
      <c r="E50" s="10">
        <f t="shared" si="10"/>
        <v>3.6592990347349918E-3</v>
      </c>
      <c r="F50" s="9">
        <f t="shared" si="9"/>
        <v>0.54009163057713705</v>
      </c>
      <c r="G50" s="9">
        <f>F50/'Housekeeper summary'!$E$4</f>
        <v>1.1986522127957817</v>
      </c>
    </row>
    <row r="51" spans="2:7" x14ac:dyDescent="0.2">
      <c r="B51" t="str">
        <f>'Results Workspace'!D180</f>
        <v>O4.a</v>
      </c>
      <c r="C51" s="9">
        <f>'Results Workspace'!E180</f>
        <v>25.370820999145508</v>
      </c>
      <c r="D51" s="9">
        <f>'Results Workspace'!F180</f>
        <v>0.10990142822265625</v>
      </c>
      <c r="E51" s="10">
        <f t="shared" si="10"/>
        <v>4.3318041708763676E-3</v>
      </c>
      <c r="F51" s="9">
        <f t="shared" si="9"/>
        <v>0.49482074982981783</v>
      </c>
      <c r="G51" s="9">
        <f>F51/'Housekeeper summary'!$E$4</f>
        <v>1.0981802959749229</v>
      </c>
    </row>
    <row r="52" spans="2:7" x14ac:dyDescent="0.2">
      <c r="B52" t="str">
        <f>'Results Workspace'!D183</f>
        <v>O5.a</v>
      </c>
      <c r="C52" s="9">
        <f>'Results Workspace'!E183</f>
        <v>25.329285621643066</v>
      </c>
      <c r="D52" s="9">
        <f>'Results Workspace'!F183</f>
        <v>4.7654151916503906E-2</v>
      </c>
      <c r="E52" s="10">
        <f t="shared" si="10"/>
        <v>1.8813855482676918E-3</v>
      </c>
      <c r="F52" s="9">
        <f t="shared" si="9"/>
        <v>0.50810013455596259</v>
      </c>
      <c r="G52" s="9">
        <f>F52/'Housekeeper summary'!$E$4</f>
        <v>1.1276518948396392</v>
      </c>
    </row>
    <row r="53" spans="2:7" x14ac:dyDescent="0.2">
      <c r="B53" t="str">
        <f>'Results Workspace'!D186</f>
        <v>O6.a</v>
      </c>
      <c r="C53" s="9">
        <f>'Results Workspace'!E186</f>
        <v>25.164756774902344</v>
      </c>
      <c r="D53" s="9">
        <f>'Results Workspace'!F186</f>
        <v>3.9157867431640625E-2</v>
      </c>
      <c r="E53" s="10">
        <f t="shared" si="10"/>
        <v>1.5560598412258082E-3</v>
      </c>
      <c r="F53" s="9">
        <f t="shared" si="9"/>
        <v>0.56429783076140938</v>
      </c>
      <c r="G53" s="9">
        <f>F53/'Housekeeper summary'!$E$4</f>
        <v>1.2523742365628427</v>
      </c>
    </row>
    <row r="54" spans="2:7" x14ac:dyDescent="0.2">
      <c r="B54" t="str">
        <f>'Results Workspace'!D189</f>
        <v>O7.a</v>
      </c>
      <c r="C54" s="9">
        <f>'Results Workspace'!E189</f>
        <v>25.298236211140949</v>
      </c>
      <c r="D54" s="9">
        <f>'Results Workspace'!F189</f>
        <v>0.18800748022444505</v>
      </c>
      <c r="E54" s="10">
        <f t="shared" si="10"/>
        <v>7.4316437974300152E-3</v>
      </c>
      <c r="F54" s="9">
        <f t="shared" si="9"/>
        <v>0.5182592791861701</v>
      </c>
      <c r="G54" s="9">
        <f>F54/'Housekeeper summary'!$E$4</f>
        <v>1.1501985896997282</v>
      </c>
    </row>
    <row r="55" spans="2:7" x14ac:dyDescent="0.2">
      <c r="B55" t="str">
        <f>'Results Workspace'!D192</f>
        <v>O8.a</v>
      </c>
      <c r="C55" s="9">
        <f>'Results Workspace'!E192</f>
        <v>24.37191104888916</v>
      </c>
      <c r="D55" s="9">
        <f>'Results Workspace'!F192</f>
        <v>0.69711971282958984</v>
      </c>
      <c r="E55" s="10">
        <f t="shared" si="10"/>
        <v>2.860340789161725E-2</v>
      </c>
      <c r="F55" s="9">
        <f t="shared" si="9"/>
        <v>0.93551841609772102</v>
      </c>
      <c r="G55" s="9">
        <f>F55/'Housekeeper summary'!$E$4</f>
        <v>2.0762425412303864</v>
      </c>
    </row>
    <row r="56" spans="2:7" x14ac:dyDescent="0.2">
      <c r="B56" t="str">
        <f>'Results Workspace'!D195</f>
        <v>O9.a</v>
      </c>
      <c r="C56" s="9">
        <f>'Results Workspace'!E195</f>
        <v>25.110366821289063</v>
      </c>
      <c r="D56" s="9">
        <f>'Results Workspace'!F195</f>
        <v>0.11084620184498317</v>
      </c>
      <c r="E56" s="10">
        <f t="shared" ref="E56:E62" si="11">D56/C56</f>
        <v>4.4143601180292426E-3</v>
      </c>
      <c r="F56" s="9">
        <f t="shared" ref="F56:F62" si="12">$C$29^($B$3-C56)</f>
        <v>0.58421042228262143</v>
      </c>
      <c r="G56" s="9">
        <f>F56/'Housekeeper summary'!$E$4</f>
        <v>1.2965672411163367</v>
      </c>
    </row>
    <row r="57" spans="2:7" x14ac:dyDescent="0.2">
      <c r="B57" t="str">
        <f>'Results Workspace'!D198</f>
        <v>P1.a</v>
      </c>
      <c r="C57" s="9">
        <f>'Results Workspace'!E198</f>
        <v>25.088260650634766</v>
      </c>
      <c r="D57" s="9">
        <f>'Results Workspace'!F198</f>
        <v>0.13414955139160156</v>
      </c>
      <c r="E57" s="10">
        <f t="shared" si="11"/>
        <v>5.3471044987810825E-3</v>
      </c>
      <c r="F57" s="9">
        <f t="shared" si="12"/>
        <v>0.59250311505948616</v>
      </c>
      <c r="G57" s="9">
        <f>F57/'Housekeeper summary'!$E$4</f>
        <v>1.3149716265655291</v>
      </c>
    </row>
    <row r="58" spans="2:7" x14ac:dyDescent="0.2">
      <c r="B58" t="str">
        <f>'Results Workspace'!D201</f>
        <v>P2.a</v>
      </c>
      <c r="C58" s="9">
        <f>'Results Workspace'!E201</f>
        <v>25.360666910807293</v>
      </c>
      <c r="D58" s="9">
        <f>'Results Workspace'!F201</f>
        <v>8.2722941819391022E-2</v>
      </c>
      <c r="E58" s="10">
        <f t="shared" si="11"/>
        <v>3.2618598757802836E-3</v>
      </c>
      <c r="F58" s="9">
        <f t="shared" si="12"/>
        <v>0.49803473566156309</v>
      </c>
      <c r="G58" s="9">
        <f>F58/'Housekeeper summary'!$E$4</f>
        <v>1.1053132545527091</v>
      </c>
    </row>
    <row r="59" spans="2:7" x14ac:dyDescent="0.2">
      <c r="B59" t="str">
        <f>'Results Workspace'!D204</f>
        <v>P3.a</v>
      </c>
      <c r="C59" s="9">
        <f>'Results Workspace'!E204</f>
        <v>26.282636642456055</v>
      </c>
      <c r="D59" s="9">
        <f>'Results Workspace'!F204</f>
        <v>0.77967643737792969</v>
      </c>
      <c r="E59" s="10">
        <f t="shared" si="11"/>
        <v>2.9665076909310823E-2</v>
      </c>
      <c r="F59" s="9">
        <f t="shared" si="12"/>
        <v>0.27666895226859795</v>
      </c>
      <c r="G59" s="9">
        <f>F59/'Housekeeper summary'!$E$4</f>
        <v>0.61402516364541471</v>
      </c>
    </row>
    <row r="60" spans="2:7" x14ac:dyDescent="0.2">
      <c r="B60" t="str">
        <f>'Results Workspace'!D207</f>
        <v>P4.a</v>
      </c>
      <c r="C60" s="9">
        <f>'Results Workspace'!E207</f>
        <v>25.553367614746094</v>
      </c>
      <c r="D60" s="9">
        <f>'Results Workspace'!F207</f>
        <v>0.15148735046386719</v>
      </c>
      <c r="E60" s="10">
        <f t="shared" si="11"/>
        <v>5.9282734372924023E-3</v>
      </c>
      <c r="F60" s="9">
        <f t="shared" si="12"/>
        <v>0.4404530268387844</v>
      </c>
      <c r="G60" s="9">
        <f>F60/'Housekeeper summary'!$E$4</f>
        <v>0.97751930480527194</v>
      </c>
    </row>
    <row r="61" spans="2:7" x14ac:dyDescent="0.2">
      <c r="B61" t="str">
        <f>'Results Workspace'!D210</f>
        <v>P5.a</v>
      </c>
      <c r="C61" s="9">
        <f>'Results Workspace'!E210</f>
        <v>25.343601226806641</v>
      </c>
      <c r="D61" s="9">
        <f>'Results Workspace'!F210</f>
        <v>5.0907135009765625E-3</v>
      </c>
      <c r="E61" s="10">
        <f t="shared" si="11"/>
        <v>2.008678030962692E-4</v>
      </c>
      <c r="F61" s="9">
        <f t="shared" si="12"/>
        <v>0.50348348422100053</v>
      </c>
      <c r="G61" s="9">
        <f>F61/'Housekeeper summary'!$E$4</f>
        <v>1.1174059331797754</v>
      </c>
    </row>
    <row r="62" spans="2:7" x14ac:dyDescent="0.2">
      <c r="B62" t="str">
        <f>'Results Workspace'!D213</f>
        <v>P6.a</v>
      </c>
      <c r="C62" s="9">
        <f>'Results Workspace'!E213</f>
        <v>25.430490493774414</v>
      </c>
      <c r="D62" s="9">
        <f>'Results Workspace'!F213</f>
        <v>0.37502266300153136</v>
      </c>
      <c r="E62" s="10">
        <f t="shared" si="11"/>
        <v>1.4746969315961086E-2</v>
      </c>
      <c r="F62" s="9">
        <f t="shared" si="12"/>
        <v>0.47634876686312538</v>
      </c>
      <c r="G62" s="9">
        <f>F62/'Housekeeper summary'!$E$4</f>
        <v>1.057184505623401</v>
      </c>
    </row>
    <row r="63" spans="2:7" x14ac:dyDescent="0.2">
      <c r="B63" t="str">
        <f>'Results Workspace'!D216</f>
        <v>P7.a</v>
      </c>
      <c r="C63" s="9">
        <f>'Results Workspace'!E216</f>
        <v>24.927841186523438</v>
      </c>
      <c r="D63" s="9">
        <f>'Results Workspace'!F216</f>
        <v>0.432830810546875</v>
      </c>
      <c r="E63" s="10">
        <f t="shared" ref="E63" si="13">D63/C63</f>
        <v>1.7363349168835095E-2</v>
      </c>
      <c r="F63" s="9">
        <f t="shared" ref="F63" si="14">$C$29^($B$3-C63)</f>
        <v>0.65631419128989232</v>
      </c>
      <c r="G63" s="9">
        <f>F63/'Housekeeper summary'!$E$4</f>
        <v>1.4565907211675377</v>
      </c>
    </row>
    <row r="64" spans="2:7" x14ac:dyDescent="0.2">
      <c r="B64" t="str">
        <f>'Results Workspace'!D219</f>
        <v>P8.a</v>
      </c>
      <c r="C64" s="9">
        <f>'Results Workspace'!E219</f>
        <v>25.325192769368488</v>
      </c>
      <c r="D64" s="9">
        <f>'Results Workspace'!F219</f>
        <v>3.0766955957217446E-2</v>
      </c>
      <c r="E64" s="9">
        <f>'Results Workspace'!G193</f>
        <v>0</v>
      </c>
      <c r="F64" s="9">
        <f t="shared" ref="F64:F65" si="15">$C$29^($B$3-C64)</f>
        <v>0.50942780615380767</v>
      </c>
      <c r="G64" s="9">
        <f>F64/'Housekeeper summary'!$E$4</f>
        <v>1.1305984624376644</v>
      </c>
    </row>
    <row r="65" spans="2:7" x14ac:dyDescent="0.2">
      <c r="B65" t="str">
        <f>'Results Workspace'!D222</f>
        <v>P9.a</v>
      </c>
      <c r="C65" s="9">
        <f>'Results Workspace'!E222</f>
        <v>25.249702453613281</v>
      </c>
      <c r="D65" s="9">
        <f>'Results Workspace'!F222</f>
        <v>0.11619549105464805</v>
      </c>
      <c r="E65" s="9">
        <f>'Results Workspace'!G194</f>
        <v>0</v>
      </c>
      <c r="F65" s="9">
        <f t="shared" si="15"/>
        <v>0.53454760604419838</v>
      </c>
      <c r="G65" s="9">
        <f>F65/'Housekeeper summary'!$E$4</f>
        <v>1.1863480834629501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K63" sqref="K63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7" si="0">B33</f>
        <v>STD 10a</v>
      </c>
      <c r="B2">
        <f t="shared" si="0"/>
        <v>24.888776779174805</v>
      </c>
      <c r="C2">
        <f t="shared" si="0"/>
        <v>6.7589402442859853E-2</v>
      </c>
      <c r="D2" s="10">
        <f>C2/B2</f>
        <v>2.7156578662963443E-3</v>
      </c>
      <c r="E2">
        <v>0.1</v>
      </c>
      <c r="F2" s="9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25.808697382609051</v>
      </c>
      <c r="C3">
        <f t="shared" si="0"/>
        <v>9.9936059508553568E-2</v>
      </c>
      <c r="D3" s="10">
        <f t="shared" ref="D3:D7" si="1">C3/B3</f>
        <v>3.8721853345413141E-3</v>
      </c>
      <c r="E3">
        <v>0.05</v>
      </c>
      <c r="F3" s="9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26.983888626098633</v>
      </c>
      <c r="C4">
        <f t="shared" si="0"/>
        <v>1.2155177429788066E-2</v>
      </c>
      <c r="D4" s="10">
        <f t="shared" si="1"/>
        <v>4.5046055437805439E-4</v>
      </c>
      <c r="E4">
        <v>2.5000000000000001E-2</v>
      </c>
      <c r="F4" s="9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27.963738123575848</v>
      </c>
      <c r="C5">
        <f t="shared" si="0"/>
        <v>0.19560313593744078</v>
      </c>
      <c r="D5" s="10">
        <f t="shared" si="1"/>
        <v>6.9948851284846797E-3</v>
      </c>
      <c r="E5">
        <v>1.2500000000000001E-2</v>
      </c>
      <c r="F5" s="9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29.043430964152019</v>
      </c>
      <c r="C6">
        <f t="shared" si="0"/>
        <v>3.0742026764858502E-2</v>
      </c>
      <c r="D6" s="10">
        <f t="shared" si="1"/>
        <v>1.0584846811935904E-3</v>
      </c>
      <c r="E6">
        <v>6.2500000000000003E-3</v>
      </c>
      <c r="F6" s="9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30.318076451619465</v>
      </c>
      <c r="C7">
        <f t="shared" si="0"/>
        <v>9.6718760011187219E-2</v>
      </c>
      <c r="D7" s="10">
        <f t="shared" si="1"/>
        <v>3.1901351052243589E-3</v>
      </c>
      <c r="E7">
        <v>3.1250000000000002E-3</v>
      </c>
      <c r="F7" s="9">
        <f t="shared" si="2"/>
        <v>-2.5051499783199058</v>
      </c>
    </row>
    <row r="28" spans="1:7" x14ac:dyDescent="0.2">
      <c r="B28" s="3" t="s">
        <v>446</v>
      </c>
      <c r="C28">
        <f>SLOPE(B2:B7,F2:F7)</f>
        <v>-3.5905817786778229</v>
      </c>
    </row>
    <row r="29" spans="1:7" x14ac:dyDescent="0.2">
      <c r="B29" s="13" t="s">
        <v>447</v>
      </c>
      <c r="C29" s="13">
        <f>10^(-1/C28)</f>
        <v>1.8989188192046897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Workspace'!D243</f>
        <v>Blank 1.a</v>
      </c>
      <c r="C32" s="9">
        <f>'Results Workspace'!E243</f>
        <v>40.1</v>
      </c>
      <c r="D32" s="9">
        <f>'Results Workspace'!F243</f>
        <v>0</v>
      </c>
      <c r="E32" s="10">
        <f>D32/C32</f>
        <v>0</v>
      </c>
      <c r="F32" s="9">
        <f>$C$29^($B$3-C32)</f>
        <v>1.0466001121952693E-4</v>
      </c>
      <c r="G32" s="9"/>
    </row>
    <row r="33" spans="2:7" x14ac:dyDescent="0.2">
      <c r="B33" t="str">
        <f>'Results Workspace'!D246</f>
        <v>STD 10a</v>
      </c>
      <c r="C33" s="9">
        <f>'Results Workspace'!E246</f>
        <v>24.888776779174805</v>
      </c>
      <c r="D33" s="9">
        <f>'Results Workspace'!F246</f>
        <v>6.7589402442859853E-2</v>
      </c>
      <c r="E33" s="10">
        <f>D33/C33</f>
        <v>2.7156578662963443E-3</v>
      </c>
      <c r="F33" s="9">
        <f>$C$29^($B$3-C33)</f>
        <v>1.8038639288816003</v>
      </c>
      <c r="G33" s="9"/>
    </row>
    <row r="34" spans="2:7" x14ac:dyDescent="0.2">
      <c r="B34" t="str">
        <f>'Results Workspace'!D249</f>
        <v>STD 20a</v>
      </c>
      <c r="C34" s="9">
        <f>'Results Workspace'!E249</f>
        <v>25.808697382609051</v>
      </c>
      <c r="D34" s="9">
        <f>'Results Workspace'!F249</f>
        <v>9.9936059508553568E-2</v>
      </c>
      <c r="E34" s="10">
        <f>D34/C34</f>
        <v>3.8721853345413141E-3</v>
      </c>
      <c r="F34" s="9">
        <f>$C$29^($B$3-C34)</f>
        <v>1</v>
      </c>
      <c r="G34" s="9"/>
    </row>
    <row r="35" spans="2:7" x14ac:dyDescent="0.2">
      <c r="B35" t="str">
        <f>'Results Workspace'!D252</f>
        <v>STD 40a</v>
      </c>
      <c r="C35" s="9">
        <f>'Results Workspace'!E252</f>
        <v>26.983888626098633</v>
      </c>
      <c r="D35" s="9">
        <f>'Results Workspace'!F252</f>
        <v>1.2155177429788066E-2</v>
      </c>
      <c r="E35" s="10">
        <f>D35/C35</f>
        <v>4.5046055437805439E-4</v>
      </c>
      <c r="F35" s="9">
        <f>$C$29^($B$3-C35)</f>
        <v>0.4706539621798167</v>
      </c>
      <c r="G35" s="9"/>
    </row>
    <row r="36" spans="2:7" x14ac:dyDescent="0.2">
      <c r="B36" t="str">
        <f>'Results Workspace'!D255</f>
        <v>STD 80a</v>
      </c>
      <c r="C36" s="9">
        <f>'Results Workspace'!E255</f>
        <v>27.963738123575848</v>
      </c>
      <c r="D36" s="9">
        <f>'Results Workspace'!F255</f>
        <v>0.19560313593744078</v>
      </c>
      <c r="E36" s="10">
        <f>D36/C36</f>
        <v>6.9948851284846797E-3</v>
      </c>
      <c r="F36" s="9">
        <f>$C$29^($B$3-C36)</f>
        <v>0.25107725067632353</v>
      </c>
      <c r="G36" s="9"/>
    </row>
    <row r="37" spans="2:7" x14ac:dyDescent="0.2">
      <c r="B37" t="str">
        <f>'Results Workspace'!D258</f>
        <v>STD 160a</v>
      </c>
      <c r="C37" s="9">
        <f>'Results Workspace'!E258</f>
        <v>29.043430964152019</v>
      </c>
      <c r="D37" s="9">
        <f>'Results Workspace'!F258</f>
        <v>3.0742026764858502E-2</v>
      </c>
      <c r="E37" s="10">
        <f t="shared" ref="E37:E45" si="3">D37/C37</f>
        <v>1.0584846811935904E-3</v>
      </c>
      <c r="F37" s="9">
        <f t="shared" ref="F37:F65" si="4">$C$29^($B$3-C37)</f>
        <v>0.12563365648906441</v>
      </c>
      <c r="G37" s="9"/>
    </row>
    <row r="38" spans="2:7" x14ac:dyDescent="0.2">
      <c r="B38" t="str">
        <f>'Results Workspace'!D261</f>
        <v>STD 320a</v>
      </c>
      <c r="C38" s="9">
        <f>'Results Workspace'!E261</f>
        <v>30.318076451619465</v>
      </c>
      <c r="D38" s="9">
        <f>'Results Workspace'!F261</f>
        <v>9.6718760011187219E-2</v>
      </c>
      <c r="E38" s="10">
        <f t="shared" si="3"/>
        <v>3.1901351052243589E-3</v>
      </c>
      <c r="F38" s="9">
        <f t="shared" si="4"/>
        <v>5.547650279970736E-2</v>
      </c>
      <c r="G38" s="9"/>
    </row>
    <row r="39" spans="2:7" x14ac:dyDescent="0.2">
      <c r="B39" t="str">
        <f>'Results Workspace'!D264</f>
        <v>C1.a</v>
      </c>
      <c r="C39" s="9">
        <f>'Results Workspace'!E264</f>
        <v>26.974547704060871</v>
      </c>
      <c r="D39" s="9">
        <f>'Results Workspace'!F264</f>
        <v>5.3923993964325977E-2</v>
      </c>
      <c r="E39" s="10">
        <f t="shared" si="3"/>
        <v>1.9990694396780566E-3</v>
      </c>
      <c r="F39" s="9">
        <f t="shared" si="4"/>
        <v>0.47348172991673626</v>
      </c>
      <c r="G39" s="9">
        <f>F39/'Housekeeper summary'!$E$4</f>
        <v>1.0508215479595613</v>
      </c>
    </row>
    <row r="40" spans="2:7" x14ac:dyDescent="0.2">
      <c r="B40" t="str">
        <f>'Results Workspace'!D267</f>
        <v>C2.a</v>
      </c>
      <c r="C40" s="9">
        <f>'Results Workspace'!E267</f>
        <v>27.274739583333332</v>
      </c>
      <c r="D40" s="9">
        <f>'Results Workspace'!F267</f>
        <v>5.3103723340444997E-2</v>
      </c>
      <c r="E40" s="10">
        <f t="shared" si="3"/>
        <v>1.946992864155333E-3</v>
      </c>
      <c r="F40" s="9">
        <f t="shared" si="4"/>
        <v>0.39056908699693316</v>
      </c>
      <c r="G40" s="9">
        <f>F40/'Housekeeper summary'!$E$4</f>
        <v>0.86680939654301681</v>
      </c>
    </row>
    <row r="41" spans="2:7" x14ac:dyDescent="0.2">
      <c r="B41" t="str">
        <f>'Results Workspace'!D270</f>
        <v>C3.a</v>
      </c>
      <c r="C41" s="9">
        <f>'Results Workspace'!E270</f>
        <v>27.011938095092773</v>
      </c>
      <c r="D41" s="9">
        <f>'Results Workspace'!F270</f>
        <v>9.071680725463363E-2</v>
      </c>
      <c r="E41" s="10">
        <f t="shared" si="3"/>
        <v>3.358396829404627E-3</v>
      </c>
      <c r="F41" s="9">
        <f t="shared" si="4"/>
        <v>0.46226366959215048</v>
      </c>
      <c r="G41" s="9">
        <f>F41/'Housekeeper summary'!$E$4</f>
        <v>1.0259247488423957</v>
      </c>
    </row>
    <row r="42" spans="2:7" x14ac:dyDescent="0.2">
      <c r="B42" t="str">
        <f>'Results Workspace'!D273</f>
        <v>C4.a</v>
      </c>
      <c r="C42" s="9">
        <f>'Results Workspace'!E273</f>
        <v>26.792233149210613</v>
      </c>
      <c r="D42" s="9">
        <f>'Results Workspace'!F273</f>
        <v>1.7758113844175919E-2</v>
      </c>
      <c r="E42" s="10">
        <f t="shared" si="3"/>
        <v>6.6280827526686147E-4</v>
      </c>
      <c r="F42" s="9">
        <f t="shared" si="4"/>
        <v>0.53220505562076859</v>
      </c>
      <c r="G42" s="9">
        <f>F42/'Housekeeper summary'!$E$4</f>
        <v>1.1811491448205769</v>
      </c>
    </row>
    <row r="43" spans="2:7" x14ac:dyDescent="0.2">
      <c r="B43" t="str">
        <f>'Results Workspace'!D276</f>
        <v>C5.a</v>
      </c>
      <c r="C43" s="9">
        <f>'Results Workspace'!E276</f>
        <v>26.78354771931966</v>
      </c>
      <c r="D43" s="9">
        <f>'Results Workspace'!F276</f>
        <v>5.1200980202426166E-2</v>
      </c>
      <c r="E43" s="10">
        <f t="shared" si="3"/>
        <v>1.9116578856166087E-3</v>
      </c>
      <c r="F43" s="9">
        <f t="shared" si="4"/>
        <v>0.53517761963634047</v>
      </c>
      <c r="G43" s="9">
        <f>F43/'Housekeeper summary'!$E$4</f>
        <v>1.187746303956583</v>
      </c>
    </row>
    <row r="44" spans="2:7" x14ac:dyDescent="0.2">
      <c r="B44" t="str">
        <f>'Results Workspace'!D279</f>
        <v>C6.a</v>
      </c>
      <c r="C44" s="9">
        <f>'Results Workspace'!E279</f>
        <v>26.665008544921875</v>
      </c>
      <c r="D44" s="9">
        <f>'Results Workspace'!F279</f>
        <v>8.1606998438590577E-3</v>
      </c>
      <c r="E44" s="10">
        <f t="shared" si="3"/>
        <v>3.0604527390684801E-4</v>
      </c>
      <c r="F44" s="9">
        <f t="shared" si="4"/>
        <v>0.57744664460727413</v>
      </c>
      <c r="G44" s="9">
        <f>F44/'Housekeeper summary'!$E$4</f>
        <v>1.2815560529800749</v>
      </c>
    </row>
    <row r="45" spans="2:7" x14ac:dyDescent="0.2">
      <c r="B45" t="str">
        <f>'Results Workspace'!D282</f>
        <v>C7.a</v>
      </c>
      <c r="C45" s="9">
        <f>'Results Workspace'!E282</f>
        <v>26.776264190673828</v>
      </c>
      <c r="D45" s="9">
        <f>'Results Workspace'!F282</f>
        <v>9.4322715881211744E-2</v>
      </c>
      <c r="E45" s="10">
        <f t="shared" si="3"/>
        <v>3.5226241872107142E-3</v>
      </c>
      <c r="F45" s="9">
        <f t="shared" si="4"/>
        <v>0.53768318243203161</v>
      </c>
      <c r="G45" s="9">
        <f>F45/'Housekeeper summary'!$E$4</f>
        <v>1.1933070240628076</v>
      </c>
    </row>
    <row r="46" spans="2:7" x14ac:dyDescent="0.2">
      <c r="B46" t="str">
        <f>'Results Workspace'!D285</f>
        <v>C8.a</v>
      </c>
      <c r="C46" s="9">
        <f>'Results Workspace'!E285</f>
        <v>26.334227244059246</v>
      </c>
      <c r="D46" s="9">
        <f>'Results Workspace'!F285</f>
        <v>1.9914828558667805E-2</v>
      </c>
      <c r="E46" s="10">
        <f>D46/C46</f>
        <v>7.5623364126473102E-4</v>
      </c>
      <c r="F46" s="9">
        <f t="shared" si="4"/>
        <v>0.71389866683514058</v>
      </c>
      <c r="G46" s="9">
        <f>F46/'Housekeeper summary'!$E$4</f>
        <v>1.584390811239732</v>
      </c>
    </row>
    <row r="47" spans="2:7" x14ac:dyDescent="0.2">
      <c r="B47" t="str">
        <f>'Results Workspace'!D288</f>
        <v>C9.a</v>
      </c>
      <c r="C47" s="9">
        <f>'Results Workspace'!E288</f>
        <v>26.8707275390625</v>
      </c>
      <c r="D47" s="9">
        <f>'Results Workspace'!F288</f>
        <v>8.8153839111328125E-2</v>
      </c>
      <c r="E47" s="10">
        <f t="shared" ref="E47:E63" si="5">D47/C47</f>
        <v>3.2806643952299828E-3</v>
      </c>
      <c r="F47" s="9">
        <f t="shared" si="4"/>
        <v>0.50607840514525748</v>
      </c>
      <c r="G47" s="9">
        <f>F47/'Housekeeper summary'!$E$4</f>
        <v>1.1231649702242246</v>
      </c>
    </row>
    <row r="48" spans="2:7" x14ac:dyDescent="0.2">
      <c r="B48" t="str">
        <f>'Results Workspace'!D291</f>
        <v>O1.a</v>
      </c>
      <c r="C48" s="9">
        <f>'Results Workspace'!E291</f>
        <v>27.055233637491863</v>
      </c>
      <c r="D48" s="9">
        <f>'Results Workspace'!F291</f>
        <v>0.11392605172678488</v>
      </c>
      <c r="E48" s="10">
        <f t="shared" si="5"/>
        <v>4.2108692629773316E-3</v>
      </c>
      <c r="F48" s="9">
        <f t="shared" si="4"/>
        <v>0.4496055638274824</v>
      </c>
      <c r="G48" s="9">
        <f>F48/'Housekeeper summary'!$E$4</f>
        <v>0.99783198527113093</v>
      </c>
    </row>
    <row r="49" spans="2:7" x14ac:dyDescent="0.2">
      <c r="B49" t="str">
        <f>'Results Workspace'!D294</f>
        <v>O2.a</v>
      </c>
      <c r="C49" s="9">
        <f>'Results Workspace'!E294</f>
        <v>26.980669657389324</v>
      </c>
      <c r="D49" s="9">
        <f>'Results Workspace'!F294</f>
        <v>2.7719257542131351E-2</v>
      </c>
      <c r="E49" s="10">
        <f t="shared" si="5"/>
        <v>1.0273747054510096E-3</v>
      </c>
      <c r="F49" s="9">
        <f t="shared" si="4"/>
        <v>0.4716265250135015</v>
      </c>
      <c r="G49" s="9">
        <f>F49/'Housekeeper summary'!$E$4</f>
        <v>1.0467041994643149</v>
      </c>
    </row>
    <row r="50" spans="2:7" x14ac:dyDescent="0.2">
      <c r="B50" t="str">
        <f>'Results Workspace'!D297</f>
        <v>O3.a</v>
      </c>
      <c r="C50" s="9">
        <f>'Results Workspace'!E297</f>
        <v>26.553325653076172</v>
      </c>
      <c r="D50" s="9">
        <f>'Results Workspace'!F297</f>
        <v>4.1735979925180709E-2</v>
      </c>
      <c r="E50" s="10">
        <f t="shared" si="5"/>
        <v>1.5717797638784897E-3</v>
      </c>
      <c r="F50" s="9">
        <f t="shared" si="4"/>
        <v>0.6203206833829088</v>
      </c>
      <c r="G50" s="9">
        <f>F50/'Housekeeper summary'!$E$4</f>
        <v>1.3767085392257712</v>
      </c>
    </row>
    <row r="51" spans="2:7" x14ac:dyDescent="0.2">
      <c r="B51" t="str">
        <f>'Results Workspace'!D300</f>
        <v>O4.a</v>
      </c>
      <c r="C51" s="9">
        <f>'Results Workspace'!E300</f>
        <v>26.565551122029621</v>
      </c>
      <c r="D51" s="9">
        <f>'Results Workspace'!F300</f>
        <v>0.13014213420537957</v>
      </c>
      <c r="E51" s="10">
        <f t="shared" si="5"/>
        <v>4.8989058652526328E-3</v>
      </c>
      <c r="F51" s="9">
        <f t="shared" si="4"/>
        <v>0.61547638002102012</v>
      </c>
      <c r="G51" s="9">
        <f>F51/'Housekeeper summary'!$E$4</f>
        <v>1.365957335882781</v>
      </c>
    </row>
    <row r="52" spans="2:7" x14ac:dyDescent="0.2">
      <c r="B52" t="str">
        <f>'Results Workspace'!D303</f>
        <v>O5.a</v>
      </c>
      <c r="C52" s="9">
        <f>'Results Workspace'!E303</f>
        <v>26.859350840250652</v>
      </c>
      <c r="D52" s="9">
        <f>'Results Workspace'!F303</f>
        <v>3.4039531894682805E-2</v>
      </c>
      <c r="E52" s="10">
        <f t="shared" si="5"/>
        <v>1.2673251895452416E-3</v>
      </c>
      <c r="F52" s="9">
        <f t="shared" si="4"/>
        <v>0.50978410412198172</v>
      </c>
      <c r="G52" s="9">
        <f>F52/'Housekeeper summary'!$E$4</f>
        <v>1.1313892122360087</v>
      </c>
    </row>
    <row r="53" spans="2:7" x14ac:dyDescent="0.2">
      <c r="B53" t="str">
        <f>'Results Workspace'!D306</f>
        <v>O6.a</v>
      </c>
      <c r="C53" s="9">
        <f>'Results Workspace'!E306</f>
        <v>26.881657282511394</v>
      </c>
      <c r="D53" s="9">
        <f>'Results Workspace'!F306</f>
        <v>7.9067362435149988E-2</v>
      </c>
      <c r="E53" s="10">
        <f t="shared" si="5"/>
        <v>2.9413127919977406E-3</v>
      </c>
      <c r="F53" s="9">
        <f t="shared" si="4"/>
        <v>0.5025436647159911</v>
      </c>
      <c r="G53" s="9">
        <f>F53/'Housekeeper summary'!$E$4</f>
        <v>1.1153201450180437</v>
      </c>
    </row>
    <row r="54" spans="2:7" x14ac:dyDescent="0.2">
      <c r="B54" t="str">
        <f>'Results Workspace'!D309</f>
        <v>O7.a</v>
      </c>
      <c r="C54" s="9">
        <f>'Results Workspace'!E309</f>
        <v>27.135416666666668</v>
      </c>
      <c r="D54" s="9">
        <f>'Results Workspace'!F309</f>
        <v>5.0572998551921239E-2</v>
      </c>
      <c r="E54" s="10">
        <f t="shared" si="5"/>
        <v>1.8637266260976733E-3</v>
      </c>
      <c r="F54" s="9">
        <f t="shared" si="4"/>
        <v>0.42707110654162589</v>
      </c>
      <c r="G54" s="9">
        <f>F54/'Housekeeper summary'!$E$4</f>
        <v>0.94782014364903378</v>
      </c>
    </row>
    <row r="55" spans="2:7" x14ac:dyDescent="0.2">
      <c r="B55" t="str">
        <f>'Results Workspace'!D312</f>
        <v>O8.a</v>
      </c>
      <c r="C55" s="9">
        <f>'Results Workspace'!E312</f>
        <v>26.718584696451824</v>
      </c>
      <c r="D55" s="9">
        <f>'Results Workspace'!F312</f>
        <v>3.6968551365548198E-2</v>
      </c>
      <c r="E55" s="10">
        <f t="shared" si="5"/>
        <v>1.3836268569441686E-3</v>
      </c>
      <c r="F55" s="9">
        <f t="shared" si="4"/>
        <v>0.55794393507512274</v>
      </c>
      <c r="G55" s="9">
        <f>F55/'Housekeeper summary'!$E$4</f>
        <v>1.238272719907044</v>
      </c>
    </row>
    <row r="56" spans="2:7" x14ac:dyDescent="0.2">
      <c r="B56" t="str">
        <f>'Results Workspace'!D315</f>
        <v>O9.a</v>
      </c>
      <c r="C56" s="9">
        <f>'Results Workspace'!E315</f>
        <v>26.898149490356445</v>
      </c>
      <c r="D56" s="9">
        <f>'Results Workspace'!F315</f>
        <v>5.2696397466383917E-2</v>
      </c>
      <c r="E56" s="10">
        <f t="shared" si="5"/>
        <v>1.9591086548640339E-3</v>
      </c>
      <c r="F56" s="9">
        <f t="shared" si="4"/>
        <v>0.4972566697201643</v>
      </c>
      <c r="G56" s="9">
        <f>F56/'Housekeeper summary'!$E$4</f>
        <v>1.1035864541181939</v>
      </c>
    </row>
    <row r="57" spans="2:7" x14ac:dyDescent="0.2">
      <c r="B57" t="str">
        <f>'Results Workspace'!D318</f>
        <v>P1.a</v>
      </c>
      <c r="C57" s="9">
        <f>'Results Workspace'!E318</f>
        <v>26.966519037882488</v>
      </c>
      <c r="D57" s="9">
        <f>'Results Workspace'!F318</f>
        <v>6.4721951377336703E-2</v>
      </c>
      <c r="E57" s="10">
        <f t="shared" si="5"/>
        <v>2.4000855018185881E-3</v>
      </c>
      <c r="F57" s="9">
        <f t="shared" si="4"/>
        <v>0.47592581313914778</v>
      </c>
      <c r="G57" s="9">
        <f>F57/'Housekeeper summary'!$E$4</f>
        <v>1.0562458233916208</v>
      </c>
    </row>
    <row r="58" spans="2:7" x14ac:dyDescent="0.2">
      <c r="B58" t="str">
        <f>'Results Workspace'!D321</f>
        <v>P2.a</v>
      </c>
      <c r="C58" s="9">
        <f>'Results Workspace'!E321</f>
        <v>26.664351145426433</v>
      </c>
      <c r="D58" s="9">
        <f>'Results Workspace'!F321</f>
        <v>9.0401845535270267E-2</v>
      </c>
      <c r="E58" s="10">
        <f t="shared" si="5"/>
        <v>3.3903635997824129E-3</v>
      </c>
      <c r="F58" s="9">
        <f t="shared" si="4"/>
        <v>0.57769013601628549</v>
      </c>
      <c r="G58" s="9">
        <f>F58/'Housekeeper summary'!$E$4</f>
        <v>1.2820964455721549</v>
      </c>
    </row>
    <row r="59" spans="2:7" x14ac:dyDescent="0.2">
      <c r="B59" t="str">
        <f>'Results Workspace'!D324</f>
        <v>P3.a</v>
      </c>
      <c r="C59" s="9">
        <f>'Results Workspace'!E324</f>
        <v>26.96476109822591</v>
      </c>
      <c r="D59" s="9">
        <f>'Results Workspace'!F324</f>
        <v>0.15264073340889855</v>
      </c>
      <c r="E59" s="10">
        <f t="shared" si="5"/>
        <v>5.6607485915735126E-3</v>
      </c>
      <c r="F59" s="9">
        <f t="shared" si="4"/>
        <v>0.47646264577687475</v>
      </c>
      <c r="G59" s="9">
        <f>F59/'Housekeeper summary'!$E$4</f>
        <v>1.0574372427595249</v>
      </c>
    </row>
    <row r="60" spans="2:7" x14ac:dyDescent="0.2">
      <c r="B60" t="str">
        <f>'Results Workspace'!D327</f>
        <v>P4.a</v>
      </c>
      <c r="C60" s="9">
        <f>'Results Workspace'!E327</f>
        <v>26.990049997965496</v>
      </c>
      <c r="D60" s="9">
        <f>'Results Workspace'!F327</f>
        <v>7.6334362074656409E-2</v>
      </c>
      <c r="E60" s="10">
        <f t="shared" si="5"/>
        <v>2.8282408547005461E-3</v>
      </c>
      <c r="F60" s="9">
        <f t="shared" si="4"/>
        <v>0.46879798642665987</v>
      </c>
      <c r="G60" s="9">
        <f>F60/'Housekeeper summary'!$E$4</f>
        <v>1.0404266831242208</v>
      </c>
    </row>
    <row r="61" spans="2:7" x14ac:dyDescent="0.2">
      <c r="B61" t="str">
        <f>'Results Workspace'!D330</f>
        <v>P5.a</v>
      </c>
      <c r="C61" s="9">
        <f>'Results Workspace'!E330</f>
        <v>26.72181002298991</v>
      </c>
      <c r="D61" s="9">
        <f>'Results Workspace'!F330</f>
        <v>1.9005357778225557E-2</v>
      </c>
      <c r="E61" s="10">
        <f t="shared" si="5"/>
        <v>7.1123018095983911E-4</v>
      </c>
      <c r="F61" s="9">
        <f t="shared" si="4"/>
        <v>0.55679110298343126</v>
      </c>
      <c r="G61" s="9">
        <f>F61/'Housekeeper summary'!$E$4</f>
        <v>1.2357141823192437</v>
      </c>
    </row>
    <row r="62" spans="2:7" x14ac:dyDescent="0.2">
      <c r="B62" t="str">
        <f>'Results Workspace'!D333</f>
        <v>P6.a</v>
      </c>
      <c r="C62" s="9">
        <f>'Results Workspace'!E333</f>
        <v>26.966943105061848</v>
      </c>
      <c r="D62" s="9">
        <f>'Results Workspace'!F333</f>
        <v>7.1838038129825615E-2</v>
      </c>
      <c r="E62" s="10">
        <f t="shared" si="5"/>
        <v>2.6639296063312866E-3</v>
      </c>
      <c r="F62" s="9">
        <f t="shared" si="4"/>
        <v>0.47579640376499766</v>
      </c>
      <c r="G62" s="9">
        <f>F62/'Housekeeper summary'!$E$4</f>
        <v>1.0559586187324488</v>
      </c>
    </row>
    <row r="63" spans="2:7" x14ac:dyDescent="0.2">
      <c r="B63" t="str">
        <f>'Results Workspace'!D336</f>
        <v>P7.a</v>
      </c>
      <c r="C63" s="9">
        <f>'Results Workspace'!E336</f>
        <v>27.298549016316731</v>
      </c>
      <c r="D63" s="9">
        <f>'Results Workspace'!F336</f>
        <v>6.2454350624863549E-2</v>
      </c>
      <c r="E63" s="10">
        <f t="shared" si="5"/>
        <v>2.2878267481371882E-3</v>
      </c>
      <c r="F63" s="9">
        <f t="shared" si="4"/>
        <v>0.38465093023905217</v>
      </c>
      <c r="G63" s="9">
        <f>F63/'Housekeeper summary'!$E$4</f>
        <v>0.85367493695895336</v>
      </c>
    </row>
    <row r="64" spans="2:7" x14ac:dyDescent="0.2">
      <c r="B64" t="str">
        <f>'Results Workspace'!D339</f>
        <v>P8.a</v>
      </c>
      <c r="C64" s="9">
        <f>'Results Workspace'!E339</f>
        <v>26.917430241902668</v>
      </c>
      <c r="D64" s="9">
        <f>'Results Workspace'!F339</f>
        <v>9.8102121788516877E-2</v>
      </c>
      <c r="E64" s="9">
        <f>'Results Workspace'!G193</f>
        <v>0</v>
      </c>
      <c r="F64" s="9">
        <f t="shared" si="4"/>
        <v>0.49114621821767729</v>
      </c>
      <c r="G64" s="9">
        <f>F64/'Housekeeper summary'!$E$4</f>
        <v>1.0900252252452141</v>
      </c>
    </row>
    <row r="65" spans="2:7" x14ac:dyDescent="0.2">
      <c r="B65" t="str">
        <f>'Results Workspace'!D342</f>
        <v>P9.a</v>
      </c>
      <c r="C65" s="9">
        <f>'Results Workspace'!E342</f>
        <v>26.995936711629231</v>
      </c>
      <c r="D65" s="9">
        <f>'Results Workspace'!F342</f>
        <v>5.1235348472439907E-2</v>
      </c>
      <c r="E65" s="9">
        <f>'Results Workspace'!G194</f>
        <v>0</v>
      </c>
      <c r="F65" s="9">
        <f t="shared" si="4"/>
        <v>0.46703158246672327</v>
      </c>
      <c r="G65" s="9">
        <f>F65/'Housekeeper summary'!$E$4</f>
        <v>1.0365064149782273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43"/>
  <sheetViews>
    <sheetView workbookViewId="0">
      <selection activeCell="I35" sqref="I35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5" t="s">
        <v>458</v>
      </c>
      <c r="C3" s="15" t="s">
        <v>459</v>
      </c>
      <c r="D3" s="15" t="s">
        <v>460</v>
      </c>
      <c r="E3" s="15" t="s">
        <v>454</v>
      </c>
    </row>
    <row r="4" spans="1:5" x14ac:dyDescent="0.2">
      <c r="A4" t="s">
        <v>462</v>
      </c>
      <c r="B4" s="9">
        <v>0.4263927293810692</v>
      </c>
      <c r="C4" s="9">
        <v>0.35252626341172855</v>
      </c>
      <c r="D4" s="9">
        <v>0.60858535781331602</v>
      </c>
      <c r="E4" s="16">
        <f t="shared" ref="E4:E30" si="0">10^((LOG(B4,10)+LOG(C4,10)+LOG(D4,10))/COUNT(B4:D4))</f>
        <v>0.45058243317918456</v>
      </c>
    </row>
    <row r="5" spans="1:5" x14ac:dyDescent="0.2">
      <c r="A5" t="s">
        <v>465</v>
      </c>
      <c r="B5" s="9">
        <v>0.31512549785862698</v>
      </c>
      <c r="C5" s="9">
        <v>0.44111181257832188</v>
      </c>
      <c r="D5" s="9">
        <v>0.52650694217891292</v>
      </c>
      <c r="E5" s="16">
        <f t="shared" si="0"/>
        <v>0.41829124836635861</v>
      </c>
    </row>
    <row r="6" spans="1:5" x14ac:dyDescent="0.2">
      <c r="A6" t="s">
        <v>468</v>
      </c>
      <c r="B6" s="9">
        <v>0.45273714210549171</v>
      </c>
      <c r="C6" s="9">
        <v>0.44945493334651887</v>
      </c>
      <c r="D6" s="9">
        <v>0.56496674937763469</v>
      </c>
      <c r="E6" s="16">
        <f t="shared" si="0"/>
        <v>0.48624116331946227</v>
      </c>
    </row>
    <row r="7" spans="1:5" x14ac:dyDescent="0.2">
      <c r="A7" t="s">
        <v>471</v>
      </c>
      <c r="B7" s="9">
        <v>0.3829501772573668</v>
      </c>
      <c r="C7" s="9">
        <v>0.46151957246172637</v>
      </c>
      <c r="D7" s="9">
        <v>0.54473382964366568</v>
      </c>
      <c r="E7" s="16">
        <f t="shared" si="0"/>
        <v>0.45832362958721334</v>
      </c>
    </row>
    <row r="8" spans="1:5" x14ac:dyDescent="0.2">
      <c r="A8" t="s">
        <v>474</v>
      </c>
      <c r="B8" s="9">
        <v>0.42833087959300731</v>
      </c>
      <c r="C8" s="9">
        <v>0.4233578833199082</v>
      </c>
      <c r="D8" s="9">
        <v>0.53523552420816256</v>
      </c>
      <c r="E8" s="16">
        <f t="shared" si="0"/>
        <v>0.45956187094870876</v>
      </c>
    </row>
    <row r="9" spans="1:5" x14ac:dyDescent="0.2">
      <c r="A9" t="s">
        <v>477</v>
      </c>
      <c r="B9" s="9">
        <v>0.35793999756923628</v>
      </c>
      <c r="C9" s="9">
        <v>0.38296223792145484</v>
      </c>
      <c r="D9" s="9">
        <v>0.57185694490684691</v>
      </c>
      <c r="E9" s="16">
        <f t="shared" si="0"/>
        <v>0.4279744682291246</v>
      </c>
    </row>
    <row r="10" spans="1:5" x14ac:dyDescent="0.2">
      <c r="A10" t="s">
        <v>480</v>
      </c>
      <c r="B10" s="9">
        <v>0.37340238439133594</v>
      </c>
      <c r="C10" s="9">
        <v>0.48233808107194415</v>
      </c>
      <c r="D10" s="9">
        <v>0.51357491955429913</v>
      </c>
      <c r="E10" s="16">
        <f t="shared" si="0"/>
        <v>0.45224886087578242</v>
      </c>
    </row>
    <row r="11" spans="1:5" x14ac:dyDescent="0.2">
      <c r="A11" t="s">
        <v>483</v>
      </c>
      <c r="B11" s="9">
        <v>0.35503258331734205</v>
      </c>
      <c r="C11" s="9">
        <v>0.61615231239907375</v>
      </c>
      <c r="D11" s="9">
        <v>0.73880118711128706</v>
      </c>
      <c r="E11" s="16">
        <f t="shared" si="0"/>
        <v>0.54470491404753041</v>
      </c>
    </row>
    <row r="12" spans="1:5" x14ac:dyDescent="0.2">
      <c r="A12" t="s">
        <v>486</v>
      </c>
      <c r="B12" s="9">
        <v>0.41592618918148794</v>
      </c>
      <c r="C12" s="9">
        <v>0.62216433510012503</v>
      </c>
      <c r="D12" s="9">
        <v>0.63444703130188929</v>
      </c>
      <c r="E12" s="16">
        <f t="shared" si="0"/>
        <v>0.54756907959345913</v>
      </c>
    </row>
    <row r="13" spans="1:5" x14ac:dyDescent="0.2">
      <c r="A13" t="s">
        <v>489</v>
      </c>
      <c r="B13" s="9">
        <v>0.45842475302599439</v>
      </c>
      <c r="C13" s="9">
        <v>0.43456039766823429</v>
      </c>
      <c r="D13" s="9">
        <v>0.55125832995824431</v>
      </c>
      <c r="E13" s="16">
        <f t="shared" si="0"/>
        <v>0.47887752708520864</v>
      </c>
    </row>
    <row r="14" spans="1:5" x14ac:dyDescent="0.2">
      <c r="A14" t="s">
        <v>491</v>
      </c>
      <c r="B14" s="9">
        <v>0.43374487761100955</v>
      </c>
      <c r="C14" s="9">
        <v>0.32980760784732899</v>
      </c>
      <c r="D14" s="9">
        <v>0.48402583318593206</v>
      </c>
      <c r="E14" s="16">
        <f t="shared" si="0"/>
        <v>0.41063363847723999</v>
      </c>
    </row>
    <row r="15" spans="1:5" x14ac:dyDescent="0.2">
      <c r="A15" t="s">
        <v>493</v>
      </c>
      <c r="B15" s="9">
        <v>0.40114007176242378</v>
      </c>
      <c r="C15" s="9">
        <v>0.42898410785963353</v>
      </c>
      <c r="D15" s="9">
        <v>0.5954090031020679</v>
      </c>
      <c r="E15" s="16">
        <f t="shared" si="0"/>
        <v>0.4679335842643591</v>
      </c>
    </row>
    <row r="16" spans="1:5" x14ac:dyDescent="0.2">
      <c r="A16" t="s">
        <v>495</v>
      </c>
      <c r="B16" s="9">
        <v>0.38460694456052319</v>
      </c>
      <c r="C16" s="9">
        <v>0.43705016982621253</v>
      </c>
      <c r="D16" s="9">
        <v>0.68012313086699372</v>
      </c>
      <c r="E16" s="16">
        <f t="shared" si="0"/>
        <v>0.48533914434315129</v>
      </c>
    </row>
    <row r="17" spans="1:8" x14ac:dyDescent="0.2">
      <c r="A17" t="s">
        <v>497</v>
      </c>
      <c r="B17" s="9">
        <v>0.39546471705695735</v>
      </c>
      <c r="C17" s="9">
        <v>0.41032003458357952</v>
      </c>
      <c r="D17" s="9">
        <v>0.53104973407749689</v>
      </c>
      <c r="E17" s="16">
        <f t="shared" si="0"/>
        <v>0.44169439365878643</v>
      </c>
    </row>
    <row r="18" spans="1:8" x14ac:dyDescent="0.2">
      <c r="A18" t="s">
        <v>499</v>
      </c>
      <c r="B18" s="9">
        <v>0.41179439627934949</v>
      </c>
      <c r="C18" s="9">
        <v>0.46220373689092681</v>
      </c>
      <c r="D18" s="9">
        <v>0.58844570778454464</v>
      </c>
      <c r="E18" s="16">
        <f t="shared" si="0"/>
        <v>0.48202928953778679</v>
      </c>
    </row>
    <row r="19" spans="1:8" x14ac:dyDescent="0.2">
      <c r="A19" t="s">
        <v>501</v>
      </c>
      <c r="B19" s="9">
        <v>0.27876595323904763</v>
      </c>
      <c r="C19" s="9">
        <v>0.45310017409530867</v>
      </c>
      <c r="D19" s="9">
        <v>0.50035950798811635</v>
      </c>
      <c r="E19" s="16">
        <f t="shared" si="0"/>
        <v>0.39832604620100848</v>
      </c>
    </row>
    <row r="20" spans="1:8" x14ac:dyDescent="0.2">
      <c r="A20" t="s">
        <v>503</v>
      </c>
      <c r="B20" s="9">
        <v>0.53438173502337782</v>
      </c>
      <c r="C20" s="9">
        <v>0.54285522939822561</v>
      </c>
      <c r="D20" s="9">
        <v>0.65415060642880629</v>
      </c>
      <c r="E20" s="16">
        <f t="shared" si="0"/>
        <v>0.57465138789348824</v>
      </c>
      <c r="F20" s="17"/>
    </row>
    <row r="21" spans="1:8" x14ac:dyDescent="0.2">
      <c r="A21" t="s">
        <v>505</v>
      </c>
      <c r="B21" s="9">
        <v>0.44651974869658745</v>
      </c>
      <c r="C21" s="9">
        <v>0.4563205644560675</v>
      </c>
      <c r="D21" s="9">
        <v>0.62138266724811442</v>
      </c>
      <c r="E21" s="16">
        <f t="shared" si="0"/>
        <v>0.50213822440021894</v>
      </c>
    </row>
    <row r="22" spans="1:8" x14ac:dyDescent="0.2">
      <c r="A22" t="s">
        <v>516</v>
      </c>
      <c r="B22" s="9">
        <v>0.5215632857774023</v>
      </c>
      <c r="C22" s="9">
        <v>0.50154744260201822</v>
      </c>
      <c r="D22" s="9">
        <v>0.62159443516135171</v>
      </c>
      <c r="E22" s="16">
        <f t="shared" si="0"/>
        <v>0.54581070624732975</v>
      </c>
      <c r="F22" s="17"/>
    </row>
    <row r="23" spans="1:8" x14ac:dyDescent="0.2">
      <c r="A23" t="s">
        <v>519</v>
      </c>
      <c r="B23" s="9">
        <v>0.40358335376353621</v>
      </c>
      <c r="C23" s="9">
        <v>0.42014964529139992</v>
      </c>
      <c r="D23" s="9">
        <v>0.61320818639350694</v>
      </c>
      <c r="E23" s="16">
        <f t="shared" si="0"/>
        <v>0.47023512184144328</v>
      </c>
    </row>
    <row r="24" spans="1:8" x14ac:dyDescent="0.2">
      <c r="A24" t="s">
        <v>522</v>
      </c>
      <c r="B24" s="9">
        <v>0.35086902471059467</v>
      </c>
      <c r="C24" s="9">
        <v>0.34358897258616505</v>
      </c>
      <c r="D24" s="9">
        <v>0.4945847920832751</v>
      </c>
      <c r="E24" s="16">
        <f t="shared" si="0"/>
        <v>0.39066844589617944</v>
      </c>
    </row>
    <row r="25" spans="1:8" x14ac:dyDescent="0.2">
      <c r="A25" t="s">
        <v>525</v>
      </c>
      <c r="B25" s="9">
        <v>0.44820160291616035</v>
      </c>
      <c r="C25" s="9">
        <v>0.40254511875348148</v>
      </c>
      <c r="D25" s="9">
        <v>0.54062764873146252</v>
      </c>
      <c r="E25" s="16">
        <f t="shared" si="0"/>
        <v>0.46032236332148435</v>
      </c>
    </row>
    <row r="26" spans="1:8" x14ac:dyDescent="0.2">
      <c r="A26" t="s">
        <v>528</v>
      </c>
      <c r="B26" s="9">
        <v>0.46135156132242333</v>
      </c>
      <c r="C26" s="9">
        <v>0.5266015647207386</v>
      </c>
      <c r="D26" s="9">
        <v>0.65653135622649028</v>
      </c>
      <c r="E26" s="16">
        <f t="shared" si="0"/>
        <v>0.54232114477437343</v>
      </c>
    </row>
    <row r="27" spans="1:8" x14ac:dyDescent="0.2">
      <c r="A27" t="s">
        <v>531</v>
      </c>
      <c r="B27" s="9">
        <v>0.36911988654952566</v>
      </c>
      <c r="C27" s="9">
        <v>0.40468721873428687</v>
      </c>
      <c r="D27" s="9">
        <v>0.55027134516921539</v>
      </c>
      <c r="E27" s="16">
        <f t="shared" si="0"/>
        <v>0.43479840603462372</v>
      </c>
    </row>
    <row r="28" spans="1:8" x14ac:dyDescent="0.2">
      <c r="A28" t="s">
        <v>534</v>
      </c>
      <c r="B28" s="9">
        <v>0.36964436422123836</v>
      </c>
      <c r="C28" s="9">
        <v>0.50859191167028639</v>
      </c>
      <c r="D28" s="9">
        <v>0.55080792646133947</v>
      </c>
      <c r="E28" s="16">
        <f t="shared" si="0"/>
        <v>0.46958899073136146</v>
      </c>
    </row>
    <row r="29" spans="1:8" x14ac:dyDescent="0.2">
      <c r="A29" t="s">
        <v>537</v>
      </c>
      <c r="B29" s="9">
        <v>0.50392046075908659</v>
      </c>
      <c r="C29" s="9">
        <v>0.42418869891589794</v>
      </c>
      <c r="D29" s="9">
        <v>0.6564932342266091</v>
      </c>
      <c r="E29" s="16">
        <f t="shared" si="0"/>
        <v>0.51965739714350379</v>
      </c>
    </row>
    <row r="30" spans="1:8" x14ac:dyDescent="0.2">
      <c r="A30" t="s">
        <v>540</v>
      </c>
      <c r="B30" s="9">
        <v>0.24389984093536096</v>
      </c>
      <c r="C30" s="9">
        <v>0.56725695609248283</v>
      </c>
      <c r="D30" s="9">
        <v>0.75712783711723308</v>
      </c>
      <c r="E30" s="16">
        <f t="shared" si="0"/>
        <v>0.47139704283553019</v>
      </c>
      <c r="G30" s="9"/>
    </row>
    <row r="31" spans="1:8" x14ac:dyDescent="0.2">
      <c r="B31" s="9"/>
      <c r="C31" s="9"/>
      <c r="D31" s="9"/>
      <c r="E31" s="16"/>
    </row>
    <row r="32" spans="1:8" x14ac:dyDescent="0.2">
      <c r="B32" s="9"/>
      <c r="C32" s="9"/>
      <c r="D32" s="9"/>
      <c r="E32" s="16"/>
      <c r="G32" s="9"/>
      <c r="H32" s="9"/>
    </row>
    <row r="33" spans="2:9" x14ac:dyDescent="0.2">
      <c r="B33" s="9"/>
      <c r="C33" s="9"/>
      <c r="D33" s="9"/>
      <c r="E33" s="16"/>
      <c r="H33" s="9"/>
    </row>
    <row r="34" spans="2:9" x14ac:dyDescent="0.2">
      <c r="B34" s="9"/>
      <c r="C34" s="9"/>
      <c r="D34" s="9"/>
      <c r="E34" s="16"/>
      <c r="I34" s="9"/>
    </row>
    <row r="35" spans="2:9" x14ac:dyDescent="0.2">
      <c r="B35" s="9"/>
      <c r="C35" s="9"/>
      <c r="D35" s="9"/>
      <c r="E35" s="16"/>
      <c r="I35" s="9"/>
    </row>
    <row r="36" spans="2:9" x14ac:dyDescent="0.2">
      <c r="B36" s="9"/>
      <c r="C36" s="9"/>
      <c r="D36" s="9"/>
      <c r="E36" s="16"/>
    </row>
    <row r="37" spans="2:9" x14ac:dyDescent="0.2">
      <c r="B37" s="9"/>
      <c r="C37" s="9"/>
      <c r="D37" s="9"/>
      <c r="E37" s="16"/>
    </row>
    <row r="38" spans="2:9" x14ac:dyDescent="0.2">
      <c r="B38" s="9"/>
      <c r="C38" s="9"/>
      <c r="D38" s="9"/>
      <c r="E38" s="16"/>
    </row>
    <row r="39" spans="2:9" x14ac:dyDescent="0.2">
      <c r="B39" s="9"/>
      <c r="C39" s="9"/>
      <c r="D39" s="9"/>
      <c r="E39" s="16"/>
    </row>
    <row r="40" spans="2:9" x14ac:dyDescent="0.2">
      <c r="B40" s="9"/>
      <c r="C40" s="9"/>
      <c r="D40" s="9"/>
      <c r="E40" s="16"/>
    </row>
    <row r="41" spans="2:9" x14ac:dyDescent="0.2">
      <c r="B41" s="9"/>
      <c r="C41" s="9"/>
      <c r="D41" s="9"/>
      <c r="E41" s="16"/>
    </row>
    <row r="42" spans="2:9" x14ac:dyDescent="0.2">
      <c r="B42" s="9"/>
      <c r="C42" s="9"/>
      <c r="D42" s="9"/>
      <c r="E42" s="16"/>
    </row>
    <row r="43" spans="2:9" x14ac:dyDescent="0.2">
      <c r="B43" s="9"/>
      <c r="C43" s="9"/>
      <c r="D43" s="9"/>
      <c r="E4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LC3</vt:lpstr>
      <vt:lpstr>GABARAP</vt:lpstr>
      <vt:lpstr>P62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2022-02-24T17:28:56Z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