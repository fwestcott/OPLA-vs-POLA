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vs POLA/Round 1 media over time analysis/"/>
    </mc:Choice>
  </mc:AlternateContent>
  <xr:revisionPtr revIDLastSave="919" documentId="8_{48FF3F7C-76CF-4E72-9C69-75503B5278BB}" xr6:coauthVersionLast="47" xr6:coauthVersionMax="47" xr10:uidLastSave="{0FDFBA3C-DB81-4723-9F08-4CA1354C9AFF}"/>
  <bookViews>
    <workbookView xWindow="1050" yWindow="225" windowWidth="27750" windowHeight="15375" activeTab="2" xr2:uid="{CD4BCCED-9365-49D8-9CBD-F8B850B1D52B}"/>
  </bookViews>
  <sheets>
    <sheet name="Formulas" sheetId="1" r:id="rId1"/>
    <sheet name="All Data" sheetId="3" r:id="rId2"/>
    <sheet name="Data for R" sheetId="5" r:id="rId3"/>
    <sheet name="FA Uptak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X2" i="1"/>
  <c r="V5" i="1"/>
  <c r="V7" i="1"/>
  <c r="V8" i="1"/>
  <c r="V9" i="1"/>
  <c r="V13" i="1"/>
  <c r="V15" i="1"/>
  <c r="V16" i="1"/>
  <c r="V17" i="1"/>
  <c r="V21" i="1"/>
  <c r="V24" i="1"/>
  <c r="V25" i="1"/>
  <c r="V27" i="1"/>
  <c r="Q7" i="1"/>
  <c r="W6" i="1"/>
  <c r="S5" i="1"/>
  <c r="X4" i="1"/>
  <c r="X11" i="1"/>
  <c r="X12" i="1"/>
  <c r="X13" i="1"/>
  <c r="X20" i="1"/>
  <c r="X21" i="1"/>
  <c r="X22" i="1"/>
  <c r="X6" i="1"/>
  <c r="X7" i="1"/>
  <c r="X14" i="1"/>
  <c r="X15" i="1"/>
  <c r="X16" i="1"/>
  <c r="S2" i="1"/>
  <c r="T2" i="1"/>
  <c r="R2" i="1"/>
  <c r="U2" i="1"/>
  <c r="V2" i="1" s="1"/>
  <c r="W2" i="1"/>
  <c r="R3" i="1"/>
  <c r="S3" i="1"/>
  <c r="T3" i="1"/>
  <c r="U3" i="1"/>
  <c r="V3" i="1" s="1"/>
  <c r="W3" i="1"/>
  <c r="X3" i="1"/>
  <c r="R4" i="1"/>
  <c r="S4" i="1"/>
  <c r="T4" i="1"/>
  <c r="U4" i="1"/>
  <c r="V4" i="1" s="1"/>
  <c r="W4" i="1"/>
  <c r="R11" i="1"/>
  <c r="S11" i="1"/>
  <c r="T11" i="1"/>
  <c r="U11" i="1"/>
  <c r="V11" i="1" s="1"/>
  <c r="W11" i="1"/>
  <c r="R12" i="1"/>
  <c r="S12" i="1"/>
  <c r="T12" i="1"/>
  <c r="U12" i="1"/>
  <c r="V12" i="1" s="1"/>
  <c r="W12" i="1"/>
  <c r="R13" i="1"/>
  <c r="S13" i="1"/>
  <c r="T13" i="1"/>
  <c r="U13" i="1"/>
  <c r="W13" i="1"/>
  <c r="R20" i="1"/>
  <c r="S20" i="1"/>
  <c r="T20" i="1"/>
  <c r="U20" i="1"/>
  <c r="V20" i="1" s="1"/>
  <c r="W20" i="1"/>
  <c r="R21" i="1"/>
  <c r="S21" i="1"/>
  <c r="T21" i="1"/>
  <c r="U21" i="1"/>
  <c r="W21" i="1"/>
  <c r="R22" i="1"/>
  <c r="S22" i="1"/>
  <c r="T22" i="1"/>
  <c r="U22" i="1"/>
  <c r="V22" i="1" s="1"/>
  <c r="W22" i="1"/>
  <c r="R5" i="1"/>
  <c r="U5" i="1"/>
  <c r="W5" i="1"/>
  <c r="R6" i="1"/>
  <c r="S6" i="1"/>
  <c r="T6" i="1"/>
  <c r="U6" i="1"/>
  <c r="V6" i="1" s="1"/>
  <c r="S7" i="1"/>
  <c r="T7" i="1"/>
  <c r="U7" i="1"/>
  <c r="W7" i="1"/>
  <c r="R14" i="1"/>
  <c r="S14" i="1"/>
  <c r="T14" i="1"/>
  <c r="U14" i="1"/>
  <c r="V14" i="1" s="1"/>
  <c r="W14" i="1"/>
  <c r="R15" i="1"/>
  <c r="S15" i="1"/>
  <c r="T15" i="1"/>
  <c r="U15" i="1"/>
  <c r="W15" i="1"/>
  <c r="R16" i="1"/>
  <c r="S16" i="1"/>
  <c r="T16" i="1"/>
  <c r="U16" i="1"/>
  <c r="W16" i="1"/>
  <c r="R23" i="1"/>
  <c r="S23" i="1"/>
  <c r="T23" i="1"/>
  <c r="U23" i="1"/>
  <c r="V23" i="1" s="1"/>
  <c r="W23" i="1"/>
  <c r="X23" i="1"/>
  <c r="R24" i="1"/>
  <c r="S24" i="1"/>
  <c r="T24" i="1"/>
  <c r="U24" i="1"/>
  <c r="W24" i="1"/>
  <c r="X24" i="1"/>
  <c r="R25" i="1"/>
  <c r="S25" i="1"/>
  <c r="T25" i="1"/>
  <c r="U25" i="1"/>
  <c r="W25" i="1"/>
  <c r="X25" i="1"/>
  <c r="R8" i="1"/>
  <c r="S8" i="1"/>
  <c r="T8" i="1"/>
  <c r="U8" i="1"/>
  <c r="W8" i="1"/>
  <c r="X8" i="1"/>
  <c r="R9" i="1"/>
  <c r="S9" i="1"/>
  <c r="T9" i="1"/>
  <c r="U9" i="1"/>
  <c r="W9" i="1"/>
  <c r="X9" i="1"/>
  <c r="R10" i="1"/>
  <c r="S10" i="1"/>
  <c r="T10" i="1"/>
  <c r="U10" i="1"/>
  <c r="V10" i="1" s="1"/>
  <c r="W10" i="1"/>
  <c r="X10" i="1"/>
  <c r="R17" i="1"/>
  <c r="S17" i="1"/>
  <c r="T17" i="1"/>
  <c r="U17" i="1"/>
  <c r="W17" i="1"/>
  <c r="X17" i="1"/>
  <c r="R18" i="1"/>
  <c r="S18" i="1"/>
  <c r="T18" i="1"/>
  <c r="U18" i="1"/>
  <c r="V18" i="1" s="1"/>
  <c r="W18" i="1"/>
  <c r="X18" i="1"/>
  <c r="R19" i="1"/>
  <c r="S19" i="1"/>
  <c r="T19" i="1"/>
  <c r="U19" i="1"/>
  <c r="V19" i="1" s="1"/>
  <c r="W19" i="1"/>
  <c r="X19" i="1"/>
  <c r="R26" i="1"/>
  <c r="S26" i="1"/>
  <c r="T26" i="1"/>
  <c r="U26" i="1"/>
  <c r="V26" i="1" s="1"/>
  <c r="W26" i="1"/>
  <c r="X26" i="1"/>
  <c r="R27" i="1"/>
  <c r="S27" i="1"/>
  <c r="T27" i="1"/>
  <c r="U27" i="1"/>
  <c r="W27" i="1"/>
  <c r="X27" i="1"/>
  <c r="R28" i="1"/>
  <c r="S28" i="1"/>
  <c r="T28" i="1"/>
  <c r="U28" i="1"/>
  <c r="V28" i="1" s="1"/>
  <c r="W28" i="1"/>
  <c r="X28" i="1"/>
  <c r="Q2" i="1"/>
  <c r="Q3" i="1"/>
  <c r="Q4" i="1"/>
  <c r="Q11" i="1"/>
  <c r="Q12" i="1"/>
  <c r="Q13" i="1"/>
  <c r="Q20" i="1"/>
  <c r="Q21" i="1"/>
  <c r="Q22" i="1"/>
  <c r="Q5" i="1"/>
  <c r="Q6" i="1"/>
  <c r="Q14" i="1"/>
  <c r="Q15" i="1"/>
  <c r="Q16" i="1"/>
  <c r="Q23" i="1"/>
  <c r="Q24" i="1"/>
  <c r="Q25" i="1"/>
  <c r="Q8" i="1"/>
  <c r="Q9" i="1"/>
  <c r="Q10" i="1"/>
  <c r="Q17" i="1"/>
  <c r="Q18" i="1"/>
  <c r="Q19" i="1"/>
  <c r="Q26" i="1"/>
  <c r="Q27" i="1"/>
  <c r="Q28" i="1"/>
  <c r="X5" i="1" l="1"/>
  <c r="R7" i="1"/>
  <c r="T5" i="1"/>
</calcChain>
</file>

<file path=xl/sharedStrings.xml><?xml version="1.0" encoding="utf-8"?>
<sst xmlns="http://schemas.openxmlformats.org/spreadsheetml/2006/main" count="264" uniqueCount="49">
  <si>
    <t>Round</t>
  </si>
  <si>
    <t>Glucose (mM)</t>
  </si>
  <si>
    <t>Insulin (nM)</t>
  </si>
  <si>
    <t>Fat Mix</t>
  </si>
  <si>
    <t>Treatment Length (days)</t>
  </si>
  <si>
    <t>Protein (mg/mL)</t>
  </si>
  <si>
    <t>Sample ID</t>
  </si>
  <si>
    <t>Glu</t>
  </si>
  <si>
    <t>FrTAG</t>
  </si>
  <si>
    <t>FrApoB</t>
  </si>
  <si>
    <t>NEFA</t>
  </si>
  <si>
    <t>Lac</t>
  </si>
  <si>
    <t>Urea</t>
  </si>
  <si>
    <t>OHB</t>
  </si>
  <si>
    <t>NB - round 4 and 5 were done by CFM</t>
  </si>
  <si>
    <t>Sample Number</t>
  </si>
  <si>
    <t>Uncorrected Glu</t>
  </si>
  <si>
    <t>Uncorrected FrTAG</t>
  </si>
  <si>
    <t>Uncorrected FrApoB</t>
  </si>
  <si>
    <t>Uncorrected NEFA</t>
  </si>
  <si>
    <t>Uncorrected Lac</t>
  </si>
  <si>
    <t>Uncorrected Urea</t>
  </si>
  <si>
    <t>FA_Uptake</t>
  </si>
  <si>
    <t>C1</t>
  </si>
  <si>
    <t>C2</t>
  </si>
  <si>
    <t>C3</t>
  </si>
  <si>
    <t>O1</t>
  </si>
  <si>
    <t>O2</t>
  </si>
  <si>
    <t>O3</t>
  </si>
  <si>
    <t>P1</t>
  </si>
  <si>
    <t>P2</t>
  </si>
  <si>
    <t>P3</t>
  </si>
  <si>
    <t>Control</t>
  </si>
  <si>
    <t>800nM OPLA</t>
  </si>
  <si>
    <t>800nM POLA</t>
  </si>
  <si>
    <t>Uncorrected 3OHB</t>
  </si>
  <si>
    <t>FA Amount (nM)</t>
  </si>
  <si>
    <t>Media 3-OHB (umol/g of protein)</t>
  </si>
  <si>
    <t>Media TAG (umol/g of protein)</t>
  </si>
  <si>
    <t>Media NEFA (umol/g of protein)</t>
  </si>
  <si>
    <t>Media Lactate (mmol/g of protein)</t>
  </si>
  <si>
    <t>Media Urea (mmol/g of protein)</t>
  </si>
  <si>
    <t>Media ApoB (g/g or protein)</t>
  </si>
  <si>
    <t xml:space="preserve">OPLA 800nM </t>
  </si>
  <si>
    <t xml:space="preserve">POLA 800nM </t>
  </si>
  <si>
    <t>OPLA 800nM</t>
  </si>
  <si>
    <t>POLA 800nM</t>
  </si>
  <si>
    <t>Fatty Acid Uptake (%)</t>
  </si>
  <si>
    <t>TAG : ApoB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</si>
</sst>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</cellXfs>
  <cellStyles count="2">
    <cellStyle name="Normal" xfId="0" builtinId="0"/>
    <cellStyle name="Normal 2" xfId="1" xr:uid="{27F829A8-019C-47CC-9C2B-1D81A0B9BFB8}"/>
  </cellStyles>
  <dxfs count="5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7B9EC-7604-40C0-BB54-22BD425D5E66}" name="Table1" displayName="Table1" ref="A1:Y28" totalsRowShown="0" headerRowDxfId="3">
  <autoFilter ref="A1:Y28" xr:uid="{DA57B9EC-7604-40C0-BB54-22BD425D5E66}"/>
  <sortState xmlns:xlrd2="http://schemas.microsoft.com/office/spreadsheetml/2017/richdata2" ref="A2:X28">
    <sortCondition ref="G1:G28"/>
  </sortState>
  <tableColumns count="25">
    <tableColumn id="1" xr3:uid="{C07E49FB-18BA-42BF-BC74-4A2354FF7DC9}" name="Round"/>
    <tableColumn id="2" xr3:uid="{9208E2A8-3B71-4989-8C94-F2FE256FEFED}" name="Treatment Length (days)"/>
    <tableColumn id="3" xr3:uid="{B16172BF-8E19-4CCB-B04F-88AF955B7DD8}" name="Fat Mix"/>
    <tableColumn id="4" xr3:uid="{F7B898EC-A682-457A-BA27-DB9F2A498690}" name="FA Amount (nM)"/>
    <tableColumn id="5" xr3:uid="{EFA841FC-9E84-4756-95C9-096863B755EE}" name="Glucose (mM)"/>
    <tableColumn id="6" xr3:uid="{E7029104-CBE0-4015-8C82-700AC796E400}" name="Insulin (nM)"/>
    <tableColumn id="21" xr3:uid="{62FF51DC-2C99-4A66-BA9E-868F4E6A8526}" name="Sample Number"/>
    <tableColumn id="7" xr3:uid="{CB146326-881A-4489-80DF-F5BFAB9AC0F9}" name="Sample ID"/>
    <tableColumn id="8" xr3:uid="{859E603B-703A-4BF6-8477-B276D662465D}" name="Protein (mg/mL)"/>
    <tableColumn id="13" xr3:uid="{420EB992-3198-4F1B-9AC0-0E60BD934F55}" name="Uncorrected Glu"/>
    <tableColumn id="14" xr3:uid="{396AB8AD-9F98-41FE-9554-5E073530CD50}" name="Uncorrected 3OHB"/>
    <tableColumn id="15" xr3:uid="{0A92D6E9-AA0B-4275-8D93-917DFC29448C}" name="Uncorrected FrTAG"/>
    <tableColumn id="16" xr3:uid="{E8B38FA7-E16D-4A30-89A1-77B844260A19}" name="Uncorrected FrApoB"/>
    <tableColumn id="17" xr3:uid="{365B449C-277E-4377-B13C-73B70F5EBED5}" name="Uncorrected NEFA"/>
    <tableColumn id="18" xr3:uid="{F0B18BC4-20A9-4F2C-BD1B-465FA52AFC41}" name="Uncorrected Lac"/>
    <tableColumn id="19" xr3:uid="{3D617AC1-278D-4179-85E1-E2B97BEF1FC9}" name="Uncorrected Urea"/>
    <tableColumn id="11" xr3:uid="{E5AFF5D2-EA80-49DF-9BDB-B02C80D1DE13}" name="Glu" dataDxfId="2">
      <calculatedColumnFormula>Table1[[#This Row],[Uncorrected Glu]]/$I2</calculatedColumnFormula>
    </tableColumn>
    <tableColumn id="20" xr3:uid="{2C0C8AAB-1B4F-4A80-81C9-CAA93799D7D3}" name="OHB">
      <calculatedColumnFormula>Table1[[#This Row],[Uncorrected 3OHB]]/$I2</calculatedColumnFormula>
    </tableColumn>
    <tableColumn id="23" xr3:uid="{2A56EC5C-2375-4D69-8287-B9890AA5C0B3}" name="FrTAG">
      <calculatedColumnFormula>Table1[[#This Row],[Uncorrected FrTAG]]/$I2</calculatedColumnFormula>
    </tableColumn>
    <tableColumn id="24" xr3:uid="{E96B242B-4583-4F10-9F35-03C1622F60F1}" name="FrApoB">
      <calculatedColumnFormula>Table1[[#This Row],[Uncorrected FrApoB]]/$I2</calculatedColumnFormula>
    </tableColumn>
    <tableColumn id="25" xr3:uid="{B69603C1-72C8-46A9-9885-7F0149E4BB22}" name="NEFA">
      <calculatedColumnFormula>Table1[[#This Row],[Uncorrected NEFA]]/$I2</calculatedColumnFormula>
    </tableColumn>
    <tableColumn id="28" xr3:uid="{B5A34460-5430-41F8-AA35-753E4F933A6B}" name="FA_Uptake" dataDxfId="1">
      <calculatedColumnFormula>((#REF!-Table1[[#This Row],[NEFA]])/#REF!)*100</calculatedColumnFormula>
    </tableColumn>
    <tableColumn id="26" xr3:uid="{45D0AF79-3D4E-47F3-A9AD-8F87E3741094}" name="Lac">
      <calculatedColumnFormula>Table1[[#This Row],[Uncorrected Lac]]/$I2</calculatedColumnFormula>
    </tableColumn>
    <tableColumn id="27" xr3:uid="{92EE95B8-F103-46CF-9BCC-DA1619E05A4D}" name="Urea">
      <calculatedColumnFormula>Table1[[#This Row],[Uncorrected Urea]]/$I2</calculatedColumnFormula>
    </tableColumn>
    <tableColumn id="9" xr3:uid="{A1459B7B-B323-4AD4-B566-01819BFB9391}" name="TAG : ApoB Ratio" dataDxfId="0">
      <calculatedColumnFormula>Table1[[#This Row],[FrTAG]]/Table1[[#This Row],[FrApoB]]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D2BDC7-4959-41C8-BF78-323795CD8F01}" name="Table3" displayName="Table3" ref="A1:Q28" totalsRowShown="0">
  <autoFilter ref="A1:Q28" xr:uid="{67D2BDC7-4959-41C8-BF78-323795CD8F01}"/>
  <tableColumns count="17">
    <tableColumn id="1" xr3:uid="{9D725474-2D41-45F1-8EA2-C182004D09DE}" name="Round"/>
    <tableColumn id="2" xr3:uid="{A3F2CEFD-03A6-4F0E-B777-F53F81D33813}" name="Treatment Length (days)"/>
    <tableColumn id="3" xr3:uid="{926D7AB2-E6E4-4B76-8200-2B1E4D9083B9}" name="Fat Mix"/>
    <tableColumn id="4" xr3:uid="{6B0AAD65-7416-4B25-8014-163E2ABFD6E4}" name="FA Amount (nM)"/>
    <tableColumn id="5" xr3:uid="{F485F6E0-3418-4D63-A870-9C0C352537D7}" name="Glucose (mM)"/>
    <tableColumn id="6" xr3:uid="{F6B35042-2A57-47C7-863C-DF7854192248}" name="Insulin (nM)"/>
    <tableColumn id="7" xr3:uid="{D1FA229C-B795-48BD-9654-CA9E465D16BD}" name="Sample Number"/>
    <tableColumn id="8" xr3:uid="{0B5A75B5-0EF4-4327-8DBE-80EE75A0F334}" name="Sample ID"/>
    <tableColumn id="9" xr3:uid="{55042E97-41BD-4227-9401-C242D946996E}" name="Protein (mg/mL)"/>
    <tableColumn id="18" xr3:uid="{6294A2E7-0FBB-4147-899C-9666E1AA42BC}" name="OHB"/>
    <tableColumn id="19" xr3:uid="{3371AB74-FD1D-4EE9-9CB2-36E654367DE3}" name="FrTAG"/>
    <tableColumn id="20" xr3:uid="{2D1EB5DA-51F3-4D59-AB83-9A827901BE71}" name="FrApoB"/>
    <tableColumn id="21" xr3:uid="{2F77D17C-F0B4-4A83-BA6F-2716F47169B8}" name="NEFA"/>
    <tableColumn id="22" xr3:uid="{FA228C12-67D4-44DD-BD89-3ECA03CE2611}" name="FA_Uptake"/>
    <tableColumn id="23" xr3:uid="{A953C743-A4D8-45A9-B128-43756DCD4DD7}" name="Lac"/>
    <tableColumn id="24" xr3:uid="{01C17974-000D-40D7-BBB5-6E0FCD2BFDC2}" name="Urea"/>
    <tableColumn id="10" xr3:uid="{8DAB1E28-962B-421B-A160-E6B006AEB4CF}" name="TAG : ApoB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C2C2-3F4C-481B-BC7A-8BE2747ADFC8}">
  <dimension ref="A1:AB28"/>
  <sheetViews>
    <sheetView topLeftCell="G1" workbookViewId="0">
      <selection activeCell="Y1" sqref="Y1:Y28"/>
    </sheetView>
  </sheetViews>
  <sheetFormatPr defaultRowHeight="15" x14ac:dyDescent="0.25"/>
  <cols>
    <col min="2" max="2" width="24.7109375" customWidth="1"/>
    <col min="3" max="3" width="11.7109375" customWidth="1"/>
    <col min="4" max="4" width="11.7109375" style="2" customWidth="1"/>
    <col min="5" max="5" width="15.7109375" customWidth="1"/>
    <col min="6" max="6" width="14" customWidth="1"/>
    <col min="7" max="7" width="14" style="2" customWidth="1"/>
    <col min="8" max="8" width="13.28515625" customWidth="1"/>
    <col min="9" max="9" width="17.7109375" customWidth="1"/>
    <col min="11" max="11" width="15.7109375" customWidth="1"/>
    <col min="12" max="12" width="15.28515625" customWidth="1"/>
    <col min="13" max="13" width="12.42578125" customWidth="1"/>
    <col min="14" max="14" width="13" customWidth="1"/>
    <col min="15" max="15" width="17.28515625" customWidth="1"/>
    <col min="16" max="16" width="15.140625" customWidth="1"/>
    <col min="17" max="19" width="9.140625" style="2"/>
    <col min="20" max="20" width="9.5703125" style="2" customWidth="1"/>
    <col min="21" max="21" width="9.140625" style="2"/>
    <col min="22" max="22" width="14.85546875" style="2" customWidth="1"/>
    <col min="23" max="24" width="9.140625" style="2"/>
  </cols>
  <sheetData>
    <row r="1" spans="1:28" s="1" customFormat="1" ht="45" x14ac:dyDescent="0.25">
      <c r="A1" s="1" t="s">
        <v>0</v>
      </c>
      <c r="B1" s="1" t="s">
        <v>4</v>
      </c>
      <c r="C1" s="1" t="s">
        <v>3</v>
      </c>
      <c r="D1" s="1" t="s">
        <v>36</v>
      </c>
      <c r="E1" s="1" t="s">
        <v>1</v>
      </c>
      <c r="F1" s="1" t="s">
        <v>2</v>
      </c>
      <c r="G1" s="1" t="s">
        <v>15</v>
      </c>
      <c r="H1" s="1" t="s">
        <v>6</v>
      </c>
      <c r="I1" s="1" t="s">
        <v>5</v>
      </c>
      <c r="J1" s="1" t="s">
        <v>16</v>
      </c>
      <c r="K1" s="1" t="s">
        <v>35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7</v>
      </c>
      <c r="R1" s="1" t="s">
        <v>13</v>
      </c>
      <c r="S1" s="1" t="s">
        <v>8</v>
      </c>
      <c r="T1" s="1" t="s">
        <v>9</v>
      </c>
      <c r="U1" s="1" t="s">
        <v>10</v>
      </c>
      <c r="V1" s="1" t="s">
        <v>22</v>
      </c>
      <c r="W1" s="1" t="s">
        <v>11</v>
      </c>
      <c r="X1" s="1" t="s">
        <v>12</v>
      </c>
      <c r="Y1" s="1" t="s">
        <v>48</v>
      </c>
    </row>
    <row r="2" spans="1:28" x14ac:dyDescent="0.25">
      <c r="A2">
        <v>1</v>
      </c>
      <c r="B2">
        <v>2</v>
      </c>
      <c r="C2" t="s">
        <v>32</v>
      </c>
      <c r="D2" s="2">
        <v>0</v>
      </c>
      <c r="E2">
        <v>5.5</v>
      </c>
      <c r="F2">
        <v>0.5</v>
      </c>
      <c r="G2" s="2">
        <v>1</v>
      </c>
      <c r="H2" t="s">
        <v>23</v>
      </c>
      <c r="I2">
        <v>12.842644915600001</v>
      </c>
      <c r="J2">
        <v>0</v>
      </c>
      <c r="K2">
        <v>0</v>
      </c>
      <c r="L2">
        <v>0</v>
      </c>
      <c r="M2">
        <v>6.0000000000000001E-3</v>
      </c>
      <c r="N2">
        <v>6</v>
      </c>
      <c r="O2">
        <v>9.07</v>
      </c>
      <c r="P2">
        <v>1.3</v>
      </c>
      <c r="Q2" s="2">
        <f>Table1[[#This Row],[Uncorrected Glu]]/$I2</f>
        <v>0</v>
      </c>
      <c r="R2" s="2">
        <f>Table1[[#This Row],[Uncorrected 3OHB]]/$I2</f>
        <v>0</v>
      </c>
      <c r="S2" s="2">
        <f>Table1[[#This Row],[Uncorrected FrTAG]]/$I2</f>
        <v>0</v>
      </c>
      <c r="T2" s="2">
        <f>Table1[[#This Row],[Uncorrected FrApoB]]/$I2</f>
        <v>4.6719348229520705E-4</v>
      </c>
      <c r="U2" s="2">
        <f>Table1[[#This Row],[Uncorrected NEFA]]/$I2</f>
        <v>0.46719348229520707</v>
      </c>
      <c r="V2" s="2" t="e">
        <f>((Table1[[#This Row],[FA Amount (nM)]]-Table1[[#This Row],[NEFA]])/Table1[[#This Row],[FA Amount (nM)]])*100</f>
        <v>#DIV/0!</v>
      </c>
      <c r="W2" s="2">
        <f>Table1[[#This Row],[Uncorrected Lac]]/$I2</f>
        <v>0.70624081406958805</v>
      </c>
      <c r="X2" s="2">
        <f>Table1[[#This Row],[Uncorrected Urea]]/$I2</f>
        <v>0.10122525449729486</v>
      </c>
      <c r="Y2">
        <f>Table1[[#This Row],[FrTAG]]/Table1[[#This Row],[FrApoB]]</f>
        <v>0</v>
      </c>
    </row>
    <row r="3" spans="1:28" x14ac:dyDescent="0.25">
      <c r="A3" s="2">
        <v>1</v>
      </c>
      <c r="B3">
        <v>2</v>
      </c>
      <c r="C3" s="2" t="s">
        <v>32</v>
      </c>
      <c r="D3" s="2">
        <v>0</v>
      </c>
      <c r="E3">
        <v>5.5</v>
      </c>
      <c r="F3">
        <v>0.5</v>
      </c>
      <c r="G3" s="2">
        <v>2</v>
      </c>
      <c r="H3" t="s">
        <v>24</v>
      </c>
      <c r="I3">
        <v>8.8765500901999985</v>
      </c>
      <c r="J3" s="2">
        <v>0</v>
      </c>
      <c r="K3">
        <v>0</v>
      </c>
      <c r="L3">
        <v>0</v>
      </c>
      <c r="M3">
        <v>4.0000000000000001E-3</v>
      </c>
      <c r="N3">
        <v>8</v>
      </c>
      <c r="O3">
        <v>9.11</v>
      </c>
      <c r="P3">
        <v>1.3</v>
      </c>
      <c r="Q3" s="2">
        <f>Table1[[#This Row],[Uncorrected Glu]]/$I3</f>
        <v>0</v>
      </c>
      <c r="R3" s="2">
        <f>Table1[[#This Row],[Uncorrected 3OHB]]/$I3</f>
        <v>0</v>
      </c>
      <c r="S3" s="2">
        <f>Table1[[#This Row],[Uncorrected FrTAG]]/$I3</f>
        <v>0</v>
      </c>
      <c r="T3" s="2">
        <f>Table1[[#This Row],[Uncorrected FrApoB]]/$I3</f>
        <v>4.5062551997719597E-4</v>
      </c>
      <c r="U3" s="2">
        <f>Table1[[#This Row],[Uncorrected NEFA]]/$I3</f>
        <v>0.90125103995439193</v>
      </c>
      <c r="V3" s="2" t="e">
        <f>((Table1[[#This Row],[FA Amount (nM)]]-Table1[[#This Row],[NEFA]])/Table1[[#This Row],[FA Amount (nM)]])*100</f>
        <v>#DIV/0!</v>
      </c>
      <c r="W3" s="2">
        <f>Table1[[#This Row],[Uncorrected Lac]]/$I3</f>
        <v>1.0262996217480638</v>
      </c>
      <c r="X3" s="2">
        <f>Table1[[#This Row],[Uncorrected Urea]]/$I3</f>
        <v>0.14645329399258869</v>
      </c>
      <c r="Y3">
        <f>Table1[[#This Row],[FrTAG]]/Table1[[#This Row],[FrApoB]]</f>
        <v>0</v>
      </c>
    </row>
    <row r="4" spans="1:28" x14ac:dyDescent="0.25">
      <c r="A4" s="2">
        <v>1</v>
      </c>
      <c r="B4" s="2">
        <v>2</v>
      </c>
      <c r="C4" s="2" t="s">
        <v>32</v>
      </c>
      <c r="D4" s="2">
        <v>0</v>
      </c>
      <c r="E4">
        <v>5.5</v>
      </c>
      <c r="F4">
        <v>0.5</v>
      </c>
      <c r="G4" s="2">
        <v>3</v>
      </c>
      <c r="H4" t="s">
        <v>25</v>
      </c>
      <c r="I4">
        <v>8.7686698433749992</v>
      </c>
      <c r="J4" s="2">
        <v>0</v>
      </c>
      <c r="K4">
        <v>8</v>
      </c>
      <c r="L4">
        <v>0</v>
      </c>
      <c r="M4" s="2">
        <v>4.0000000000000001E-3</v>
      </c>
      <c r="N4">
        <v>6</v>
      </c>
      <c r="O4">
        <v>9.27</v>
      </c>
      <c r="P4">
        <v>1.4</v>
      </c>
      <c r="Q4" s="2">
        <f>Table1[[#This Row],[Uncorrected Glu]]/$I4</f>
        <v>0</v>
      </c>
      <c r="R4" s="2">
        <f>Table1[[#This Row],[Uncorrected 3OHB]]/$I4</f>
        <v>0.91233905973141949</v>
      </c>
      <c r="S4" s="2">
        <f>Table1[[#This Row],[Uncorrected FrTAG]]/$I4</f>
        <v>0</v>
      </c>
      <c r="T4" s="2">
        <f>Table1[[#This Row],[Uncorrected FrApoB]]/$I4</f>
        <v>4.5616952986570977E-4</v>
      </c>
      <c r="U4" s="2">
        <f>Table1[[#This Row],[Uncorrected NEFA]]/$I4</f>
        <v>0.68425429479856459</v>
      </c>
      <c r="V4" s="2" t="e">
        <f>((Table1[[#This Row],[FA Amount (nM)]]-Table1[[#This Row],[NEFA]])/Table1[[#This Row],[FA Amount (nM)]])*100</f>
        <v>#DIV/0!</v>
      </c>
      <c r="W4" s="2">
        <f>Table1[[#This Row],[Uncorrected Lac]]/$I4</f>
        <v>1.0571728854637823</v>
      </c>
      <c r="X4" s="2">
        <f>Table1[[#This Row],[Uncorrected Urea]]/$I4</f>
        <v>0.1596593354529984</v>
      </c>
      <c r="Y4">
        <f>Table1[[#This Row],[FrTAG]]/Table1[[#This Row],[FrApoB]]</f>
        <v>0</v>
      </c>
    </row>
    <row r="5" spans="1:28" x14ac:dyDescent="0.25">
      <c r="A5" s="2">
        <v>1</v>
      </c>
      <c r="B5" s="2">
        <v>5</v>
      </c>
      <c r="C5" t="s">
        <v>32</v>
      </c>
      <c r="D5" s="2">
        <v>0</v>
      </c>
      <c r="E5">
        <v>5.5</v>
      </c>
      <c r="F5">
        <v>0.5</v>
      </c>
      <c r="G5" s="2">
        <v>4</v>
      </c>
      <c r="H5" t="s">
        <v>23</v>
      </c>
      <c r="I5">
        <v>12.842644915600001</v>
      </c>
      <c r="J5" s="2">
        <v>0</v>
      </c>
      <c r="K5">
        <v>5</v>
      </c>
      <c r="L5">
        <v>0</v>
      </c>
      <c r="M5" s="2">
        <v>4.0000000000000001E-3</v>
      </c>
      <c r="N5">
        <v>5</v>
      </c>
      <c r="O5">
        <v>4.16</v>
      </c>
      <c r="P5">
        <v>1.8</v>
      </c>
      <c r="Q5" s="2">
        <f>Table1[[#This Row],[Uncorrected Glu]]/$I5</f>
        <v>0</v>
      </c>
      <c r="R5" s="2">
        <f>Table1[[#This Row],[Uncorrected 3OHB]]/$I5</f>
        <v>0.38932790191267252</v>
      </c>
      <c r="S5" s="2">
        <f>Table1[[#This Row],[Uncorrected FrTAG]]/$I5</f>
        <v>0</v>
      </c>
      <c r="T5" s="2">
        <f>Table1[[#This Row],[Uncorrected FrApoB]]/$I5</f>
        <v>3.1146232153013805E-4</v>
      </c>
      <c r="U5" s="2">
        <f>Table1[[#This Row],[Uncorrected NEFA]]/$I5</f>
        <v>0.38932790191267252</v>
      </c>
      <c r="V5" s="2" t="e">
        <f>((Table1[[#This Row],[FA Amount (nM)]]-Table1[[#This Row],[NEFA]])/Table1[[#This Row],[FA Amount (nM)]])*100</f>
        <v>#DIV/0!</v>
      </c>
      <c r="W5" s="2">
        <f>Table1[[#This Row],[Uncorrected Lac]]/$I5</f>
        <v>0.32392081439134357</v>
      </c>
      <c r="X5" s="2">
        <f>Table1[[#This Row],[Uncorrected Urea]]/$I5</f>
        <v>0.14015804468856213</v>
      </c>
      <c r="Y5">
        <f>Table1[[#This Row],[FrTAG]]/Table1[[#This Row],[FrApoB]]</f>
        <v>0</v>
      </c>
    </row>
    <row r="6" spans="1:28" x14ac:dyDescent="0.25">
      <c r="A6" s="2">
        <v>1</v>
      </c>
      <c r="B6" s="2">
        <v>5</v>
      </c>
      <c r="C6" s="2" t="s">
        <v>32</v>
      </c>
      <c r="D6" s="2">
        <v>0</v>
      </c>
      <c r="E6">
        <v>5.5</v>
      </c>
      <c r="F6">
        <v>0.5</v>
      </c>
      <c r="G6" s="2">
        <v>5</v>
      </c>
      <c r="H6" t="s">
        <v>24</v>
      </c>
      <c r="I6">
        <v>8.8765500901999985</v>
      </c>
      <c r="J6" s="2">
        <v>0</v>
      </c>
      <c r="K6">
        <v>0</v>
      </c>
      <c r="L6">
        <v>0</v>
      </c>
      <c r="M6" s="2">
        <v>3.0000000000000001E-3</v>
      </c>
      <c r="N6">
        <v>9</v>
      </c>
      <c r="O6">
        <v>4</v>
      </c>
      <c r="P6">
        <v>1.8</v>
      </c>
      <c r="Q6" s="2">
        <f>Table1[[#This Row],[Uncorrected Glu]]/$I6</f>
        <v>0</v>
      </c>
      <c r="R6" s="2">
        <f>Table1[[#This Row],[Uncorrected 3OHB]]/$I6</f>
        <v>0</v>
      </c>
      <c r="S6" s="2">
        <f>Table1[[#This Row],[Uncorrected FrTAG]]/$I6</f>
        <v>0</v>
      </c>
      <c r="T6" s="2">
        <f>Table1[[#This Row],[Uncorrected FrApoB]]/$I6</f>
        <v>3.3796913998289699E-4</v>
      </c>
      <c r="U6" s="2">
        <f>Table1[[#This Row],[Uncorrected NEFA]]/$I6</f>
        <v>1.0139074199486908</v>
      </c>
      <c r="V6" s="2" t="e">
        <f>((Table1[[#This Row],[FA Amount (nM)]]-Table1[[#This Row],[NEFA]])/Table1[[#This Row],[FA Amount (nM)]])*100</f>
        <v>#DIV/0!</v>
      </c>
      <c r="W6" s="2">
        <f>Table1[[#This Row],[Uncorrected Lac]]/$I6</f>
        <v>0.45062551997719597</v>
      </c>
      <c r="X6" s="2">
        <f>Table1[[#This Row],[Uncorrected Urea]]/$I6</f>
        <v>0.20278148398973819</v>
      </c>
      <c r="Y6">
        <f>Table1[[#This Row],[FrTAG]]/Table1[[#This Row],[FrApoB]]</f>
        <v>0</v>
      </c>
    </row>
    <row r="7" spans="1:28" x14ac:dyDescent="0.25">
      <c r="A7" s="2">
        <v>1</v>
      </c>
      <c r="B7" s="2">
        <v>5</v>
      </c>
      <c r="C7" s="2" t="s">
        <v>32</v>
      </c>
      <c r="D7" s="2">
        <v>0</v>
      </c>
      <c r="E7">
        <v>5.5</v>
      </c>
      <c r="F7">
        <v>0.5</v>
      </c>
      <c r="G7" s="2">
        <v>6</v>
      </c>
      <c r="H7" t="s">
        <v>25</v>
      </c>
      <c r="I7">
        <v>8.7686698433749992</v>
      </c>
      <c r="J7" s="2">
        <v>0</v>
      </c>
      <c r="K7">
        <v>7</v>
      </c>
      <c r="L7">
        <v>0</v>
      </c>
      <c r="M7" s="2">
        <v>3.0000000000000001E-3</v>
      </c>
      <c r="N7">
        <v>7</v>
      </c>
      <c r="O7">
        <v>4.21</v>
      </c>
      <c r="P7">
        <v>2.1</v>
      </c>
      <c r="Q7" s="2">
        <f>Table1[[#This Row],[Uncorrected Glu]]/$I7</f>
        <v>0</v>
      </c>
      <c r="R7" s="2">
        <f>Table1[[#This Row],[Uncorrected 3OHB]]/$I7</f>
        <v>0.79829667726499198</v>
      </c>
      <c r="S7" s="2">
        <f>Table1[[#This Row],[Uncorrected FrTAG]]/$I7</f>
        <v>0</v>
      </c>
      <c r="T7" s="2">
        <f>Table1[[#This Row],[Uncorrected FrApoB]]/$I7</f>
        <v>3.421271473992823E-4</v>
      </c>
      <c r="U7" s="2">
        <f>Table1[[#This Row],[Uncorrected NEFA]]/$I7</f>
        <v>0.79829667726499198</v>
      </c>
      <c r="V7" s="2" t="e">
        <f>((Table1[[#This Row],[FA Amount (nM)]]-Table1[[#This Row],[NEFA]])/Table1[[#This Row],[FA Amount (nM)]])*100</f>
        <v>#DIV/0!</v>
      </c>
      <c r="W7" s="2">
        <f>Table1[[#This Row],[Uncorrected Lac]]/$I7</f>
        <v>0.48011843018365952</v>
      </c>
      <c r="X7" s="2">
        <f>Table1[[#This Row],[Uncorrected Urea]]/$I7</f>
        <v>0.23948900317949762</v>
      </c>
      <c r="Y7">
        <f>Table1[[#This Row],[FrTAG]]/Table1[[#This Row],[FrApoB]]</f>
        <v>0</v>
      </c>
    </row>
    <row r="8" spans="1:28" x14ac:dyDescent="0.25">
      <c r="A8" s="2">
        <v>1</v>
      </c>
      <c r="B8" s="2">
        <v>7</v>
      </c>
      <c r="C8" t="s">
        <v>32</v>
      </c>
      <c r="D8" s="2">
        <v>0</v>
      </c>
      <c r="E8">
        <v>5.5</v>
      </c>
      <c r="F8">
        <v>0.5</v>
      </c>
      <c r="G8" s="2">
        <v>7</v>
      </c>
      <c r="H8" t="s">
        <v>23</v>
      </c>
      <c r="I8">
        <v>12.842644915600001</v>
      </c>
      <c r="J8" s="2">
        <v>0</v>
      </c>
      <c r="K8">
        <v>5</v>
      </c>
      <c r="L8">
        <v>0</v>
      </c>
      <c r="M8" s="2">
        <v>5.0000000000000001E-3</v>
      </c>
      <c r="N8">
        <v>7</v>
      </c>
      <c r="O8">
        <v>4.3600000000000003</v>
      </c>
      <c r="P8">
        <v>1.9</v>
      </c>
      <c r="Q8" s="2">
        <f>Table1[[#This Row],[Uncorrected Glu]]/$I8</f>
        <v>0</v>
      </c>
      <c r="R8" s="2">
        <f>Table1[[#This Row],[Uncorrected 3OHB]]/$I8</f>
        <v>0.38932790191267252</v>
      </c>
      <c r="S8" s="2">
        <f>Table1[[#This Row],[Uncorrected FrTAG]]/$I8</f>
        <v>0</v>
      </c>
      <c r="T8" s="2">
        <f>Table1[[#This Row],[Uncorrected FrApoB]]/$I8</f>
        <v>3.8932790191267255E-4</v>
      </c>
      <c r="U8" s="2">
        <f>Table1[[#This Row],[Uncorrected NEFA]]/$I8</f>
        <v>0.54505906267774151</v>
      </c>
      <c r="V8" s="2" t="e">
        <f>((Table1[[#This Row],[FA Amount (nM)]]-Table1[[#This Row],[NEFA]])/Table1[[#This Row],[FA Amount (nM)]])*100</f>
        <v>#DIV/0!</v>
      </c>
      <c r="W8" s="2">
        <f>Table1[[#This Row],[Uncorrected Lac]]/$I8</f>
        <v>0.33949393046785048</v>
      </c>
      <c r="X8" s="2">
        <f>Table1[[#This Row],[Uncorrected Urea]]/$I8</f>
        <v>0.14794460272681556</v>
      </c>
      <c r="Y8">
        <f>Table1[[#This Row],[FrTAG]]/Table1[[#This Row],[FrApoB]]</f>
        <v>0</v>
      </c>
    </row>
    <row r="9" spans="1:28" x14ac:dyDescent="0.25">
      <c r="A9" s="2">
        <v>1</v>
      </c>
      <c r="B9" s="2">
        <v>7</v>
      </c>
      <c r="C9" s="2" t="s">
        <v>32</v>
      </c>
      <c r="D9" s="2">
        <v>0</v>
      </c>
      <c r="E9">
        <v>5.5</v>
      </c>
      <c r="F9">
        <v>0.5</v>
      </c>
      <c r="G9" s="2">
        <v>8</v>
      </c>
      <c r="H9" t="s">
        <v>24</v>
      </c>
      <c r="I9">
        <v>8.8765500901999985</v>
      </c>
      <c r="J9" s="2">
        <v>0</v>
      </c>
      <c r="K9">
        <v>8</v>
      </c>
      <c r="L9">
        <v>0</v>
      </c>
      <c r="M9" s="2">
        <v>6.0000000000000001E-3</v>
      </c>
      <c r="N9">
        <v>5</v>
      </c>
      <c r="O9">
        <v>4.4000000000000004</v>
      </c>
      <c r="P9">
        <v>1.7</v>
      </c>
      <c r="Q9" s="2">
        <f>Table1[[#This Row],[Uncorrected Glu]]/$I9</f>
        <v>0</v>
      </c>
      <c r="R9" s="2">
        <f>Table1[[#This Row],[Uncorrected 3OHB]]/$I9</f>
        <v>0.90125103995439193</v>
      </c>
      <c r="S9" s="2">
        <f>Table1[[#This Row],[Uncorrected FrTAG]]/$I9</f>
        <v>0</v>
      </c>
      <c r="T9" s="2">
        <f>Table1[[#This Row],[Uncorrected FrApoB]]/$I9</f>
        <v>6.7593827996579399E-4</v>
      </c>
      <c r="U9" s="2">
        <f>Table1[[#This Row],[Uncorrected NEFA]]/$I9</f>
        <v>0.56328189997149491</v>
      </c>
      <c r="V9" s="2" t="e">
        <f>((Table1[[#This Row],[FA Amount (nM)]]-Table1[[#This Row],[NEFA]])/Table1[[#This Row],[FA Amount (nM)]])*100</f>
        <v>#DIV/0!</v>
      </c>
      <c r="W9" s="2">
        <f>Table1[[#This Row],[Uncorrected Lac]]/$I9</f>
        <v>0.4956880719749156</v>
      </c>
      <c r="X9" s="2">
        <f>Table1[[#This Row],[Uncorrected Urea]]/$I9</f>
        <v>0.19151584599030827</v>
      </c>
      <c r="Y9">
        <f>Table1[[#This Row],[FrTAG]]/Table1[[#This Row],[FrApoB]]</f>
        <v>0</v>
      </c>
    </row>
    <row r="10" spans="1:28" x14ac:dyDescent="0.25">
      <c r="A10" s="2">
        <v>1</v>
      </c>
      <c r="B10" s="2">
        <v>7</v>
      </c>
      <c r="C10" s="2" t="s">
        <v>32</v>
      </c>
      <c r="D10" s="2">
        <v>0</v>
      </c>
      <c r="E10">
        <v>5.5</v>
      </c>
      <c r="F10">
        <v>0.5</v>
      </c>
      <c r="G10" s="2">
        <v>9</v>
      </c>
      <c r="H10" t="s">
        <v>25</v>
      </c>
      <c r="I10">
        <v>8.7686698433749992</v>
      </c>
      <c r="J10" s="2">
        <v>0</v>
      </c>
      <c r="K10">
        <v>6</v>
      </c>
      <c r="L10">
        <v>0</v>
      </c>
      <c r="M10" s="2">
        <v>5.0000000000000001E-3</v>
      </c>
      <c r="N10">
        <v>5</v>
      </c>
      <c r="O10">
        <v>4.62</v>
      </c>
      <c r="P10">
        <v>1.8</v>
      </c>
      <c r="Q10" s="2">
        <f>Table1[[#This Row],[Uncorrected Glu]]/$I10</f>
        <v>0</v>
      </c>
      <c r="R10" s="2">
        <f>Table1[[#This Row],[Uncorrected 3OHB]]/$I10</f>
        <v>0.68425429479856459</v>
      </c>
      <c r="S10" s="2">
        <f>Table1[[#This Row],[Uncorrected FrTAG]]/$I10</f>
        <v>0</v>
      </c>
      <c r="T10" s="2">
        <f>Table1[[#This Row],[Uncorrected FrApoB]]/$I10</f>
        <v>5.7021191233213718E-4</v>
      </c>
      <c r="U10" s="2">
        <f>Table1[[#This Row],[Uncorrected NEFA]]/$I10</f>
        <v>0.57021191233213719</v>
      </c>
      <c r="V10" s="2" t="e">
        <f>((Table1[[#This Row],[FA Amount (nM)]]-Table1[[#This Row],[NEFA]])/Table1[[#This Row],[FA Amount (nM)]])*100</f>
        <v>#DIV/0!</v>
      </c>
      <c r="W10" s="2">
        <f>Table1[[#This Row],[Uncorrected Lac]]/$I10</f>
        <v>0.52687580699489478</v>
      </c>
      <c r="X10" s="2">
        <f>Table1[[#This Row],[Uncorrected Urea]]/$I10</f>
        <v>0.20527628843956938</v>
      </c>
      <c r="Y10">
        <f>Table1[[#This Row],[FrTAG]]/Table1[[#This Row],[FrApoB]]</f>
        <v>0</v>
      </c>
    </row>
    <row r="11" spans="1:28" x14ac:dyDescent="0.25">
      <c r="A11" s="2">
        <v>1</v>
      </c>
      <c r="B11">
        <v>2</v>
      </c>
      <c r="C11" s="2" t="s">
        <v>33</v>
      </c>
      <c r="D11" s="2">
        <v>800</v>
      </c>
      <c r="E11">
        <v>5.5</v>
      </c>
      <c r="F11">
        <v>0.5</v>
      </c>
      <c r="G11" s="2">
        <v>10</v>
      </c>
      <c r="H11" s="2" t="s">
        <v>26</v>
      </c>
      <c r="I11">
        <v>12.14092493155</v>
      </c>
      <c r="J11" s="2">
        <v>0</v>
      </c>
      <c r="K11">
        <v>0</v>
      </c>
      <c r="L11">
        <v>28.9</v>
      </c>
      <c r="M11" s="2">
        <v>4.0000000000000001E-3</v>
      </c>
      <c r="N11">
        <v>338</v>
      </c>
      <c r="O11">
        <v>8.18</v>
      </c>
      <c r="P11">
        <v>1.3</v>
      </c>
      <c r="Q11" s="2">
        <f>Table1[[#This Row],[Uncorrected Glu]]/$I11</f>
        <v>0</v>
      </c>
      <c r="R11" s="2">
        <f>Table1[[#This Row],[Uncorrected 3OHB]]/$I11</f>
        <v>0</v>
      </c>
      <c r="S11" s="2">
        <f>Table1[[#This Row],[Uncorrected FrTAG]]/$I11</f>
        <v>2.3803787736879132</v>
      </c>
      <c r="T11" s="2">
        <f>Table1[[#This Row],[Uncorrected FrApoB]]/$I11</f>
        <v>3.2946419012981496E-4</v>
      </c>
      <c r="U11" s="2">
        <f>Table1[[#This Row],[Uncorrected NEFA]]/$I11</f>
        <v>27.839724065969364</v>
      </c>
      <c r="V11" s="2">
        <f>((Table1[[#This Row],[FA Amount (nM)]]-Table1[[#This Row],[NEFA]])/Table1[[#This Row],[FA Amount (nM)]])*100</f>
        <v>96.520034491753833</v>
      </c>
      <c r="W11" s="2">
        <f>Table1[[#This Row],[Uncorrected Lac]]/$I11</f>
        <v>0.67375426881547162</v>
      </c>
      <c r="X11" s="2">
        <f>Table1[[#This Row],[Uncorrected Urea]]/$I11</f>
        <v>0.10707586179218986</v>
      </c>
      <c r="Y11">
        <f>Table1[[#This Row],[FrTAG]]/Table1[[#This Row],[FrApoB]]</f>
        <v>7225</v>
      </c>
      <c r="AB11" t="s">
        <v>14</v>
      </c>
    </row>
    <row r="12" spans="1:28" x14ac:dyDescent="0.25">
      <c r="A12" s="2">
        <v>1</v>
      </c>
      <c r="B12">
        <v>2</v>
      </c>
      <c r="C12" s="2" t="s">
        <v>33</v>
      </c>
      <c r="D12" s="2">
        <v>800</v>
      </c>
      <c r="E12">
        <v>5.5</v>
      </c>
      <c r="F12">
        <v>0.5</v>
      </c>
      <c r="G12" s="2">
        <v>11</v>
      </c>
      <c r="H12" s="2" t="s">
        <v>27</v>
      </c>
      <c r="I12">
        <v>12.538467025854999</v>
      </c>
      <c r="J12" s="2">
        <v>0</v>
      </c>
      <c r="K12">
        <v>0</v>
      </c>
      <c r="L12">
        <v>28.1</v>
      </c>
      <c r="M12" s="2">
        <v>3.0000000000000001E-3</v>
      </c>
      <c r="N12">
        <v>312</v>
      </c>
      <c r="O12">
        <v>8.1999999999999993</v>
      </c>
      <c r="P12">
        <v>1.4</v>
      </c>
      <c r="Q12" s="2">
        <f>Table1[[#This Row],[Uncorrected Glu]]/$I12</f>
        <v>0</v>
      </c>
      <c r="R12" s="2">
        <f>Table1[[#This Row],[Uncorrected 3OHB]]/$I12</f>
        <v>0</v>
      </c>
      <c r="S12" s="2">
        <f>Table1[[#This Row],[Uncorrected FrTAG]]/$I12</f>
        <v>2.2411033136711431</v>
      </c>
      <c r="T12" s="2">
        <f>Table1[[#This Row],[Uncorrected FrApoB]]/$I12</f>
        <v>2.3926369896844945E-4</v>
      </c>
      <c r="U12" s="2">
        <f>Table1[[#This Row],[Uncorrected NEFA]]/$I12</f>
        <v>24.883424692718741</v>
      </c>
      <c r="V12" s="2">
        <f>((Table1[[#This Row],[FA Amount (nM)]]-Table1[[#This Row],[NEFA]])/Table1[[#This Row],[FA Amount (nM)]])*100</f>
        <v>96.889571913410151</v>
      </c>
      <c r="W12" s="2">
        <f>Table1[[#This Row],[Uncorrected Lac]]/$I12</f>
        <v>0.65398744384709506</v>
      </c>
      <c r="X12" s="2">
        <f>Table1[[#This Row],[Uncorrected Urea]]/$I12</f>
        <v>0.11165639285194306</v>
      </c>
      <c r="Y12">
        <f>Table1[[#This Row],[FrTAG]]/Table1[[#This Row],[FrApoB]]</f>
        <v>9366.6666666666661</v>
      </c>
    </row>
    <row r="13" spans="1:28" x14ac:dyDescent="0.25">
      <c r="A13" s="2">
        <v>1</v>
      </c>
      <c r="B13">
        <v>2</v>
      </c>
      <c r="C13" s="2" t="s">
        <v>33</v>
      </c>
      <c r="D13" s="2">
        <v>800</v>
      </c>
      <c r="E13">
        <v>5.5</v>
      </c>
      <c r="F13">
        <v>0.5</v>
      </c>
      <c r="G13" s="2">
        <v>12</v>
      </c>
      <c r="H13" s="2" t="s">
        <v>28</v>
      </c>
      <c r="I13">
        <v>12.41155080503</v>
      </c>
      <c r="J13" s="2">
        <v>0</v>
      </c>
      <c r="K13">
        <v>0</v>
      </c>
      <c r="L13">
        <v>27.8</v>
      </c>
      <c r="M13" s="2">
        <v>3.0000000000000001E-3</v>
      </c>
      <c r="N13">
        <v>331</v>
      </c>
      <c r="O13">
        <v>8.09</v>
      </c>
      <c r="P13">
        <v>1.2</v>
      </c>
      <c r="Q13" s="2">
        <f>Table1[[#This Row],[Uncorrected Glu]]/$I13</f>
        <v>0</v>
      </c>
      <c r="R13" s="2">
        <f>Table1[[#This Row],[Uncorrected 3OHB]]/$I13</f>
        <v>0</v>
      </c>
      <c r="S13" s="2">
        <f>Table1[[#This Row],[Uncorrected FrTAG]]/$I13</f>
        <v>2.2398490274667013</v>
      </c>
      <c r="T13" s="2">
        <f>Table1[[#This Row],[Uncorrected FrApoB]]/$I13</f>
        <v>2.4171032670503972E-4</v>
      </c>
      <c r="U13" s="2">
        <f>Table1[[#This Row],[Uncorrected NEFA]]/$I13</f>
        <v>26.668706046456048</v>
      </c>
      <c r="V13" s="2">
        <f>((Table1[[#This Row],[FA Amount (nM)]]-Table1[[#This Row],[NEFA]])/Table1[[#This Row],[FA Amount (nM)]])*100</f>
        <v>96.666411744192999</v>
      </c>
      <c r="W13" s="2">
        <f>Table1[[#This Row],[Uncorrected Lac]]/$I13</f>
        <v>0.65181218101459037</v>
      </c>
      <c r="X13" s="2">
        <f>Table1[[#This Row],[Uncorrected Urea]]/$I13</f>
        <v>9.6684130682015881E-2</v>
      </c>
      <c r="Y13">
        <f>Table1[[#This Row],[FrTAG]]/Table1[[#This Row],[FrApoB]]</f>
        <v>9266.6666666666661</v>
      </c>
    </row>
    <row r="14" spans="1:28" x14ac:dyDescent="0.25">
      <c r="A14" s="2">
        <v>1</v>
      </c>
      <c r="B14">
        <v>5</v>
      </c>
      <c r="C14" s="2" t="s">
        <v>33</v>
      </c>
      <c r="D14" s="2">
        <v>800</v>
      </c>
      <c r="E14">
        <v>5.5</v>
      </c>
      <c r="F14">
        <v>0.5</v>
      </c>
      <c r="G14" s="2">
        <v>13</v>
      </c>
      <c r="H14" s="2" t="s">
        <v>26</v>
      </c>
      <c r="I14">
        <v>12.14092493155</v>
      </c>
      <c r="J14" s="2">
        <v>0</v>
      </c>
      <c r="K14">
        <v>2</v>
      </c>
      <c r="L14">
        <v>14.4</v>
      </c>
      <c r="M14" s="2">
        <v>3.0000000000000001E-3</v>
      </c>
      <c r="N14">
        <v>222</v>
      </c>
      <c r="O14">
        <v>2.34</v>
      </c>
      <c r="P14">
        <v>1.5</v>
      </c>
      <c r="Q14" s="2">
        <f>Table1[[#This Row],[Uncorrected Glu]]/$I14</f>
        <v>0</v>
      </c>
      <c r="R14" s="2">
        <f>Table1[[#This Row],[Uncorrected 3OHB]]/$I14</f>
        <v>0.16473209506490749</v>
      </c>
      <c r="S14" s="2">
        <f>Table1[[#This Row],[Uncorrected FrTAG]]/$I14</f>
        <v>1.1860710844673339</v>
      </c>
      <c r="T14" s="2">
        <f>Table1[[#This Row],[Uncorrected FrApoB]]/$I14</f>
        <v>2.4709814259736123E-4</v>
      </c>
      <c r="U14" s="2">
        <f>Table1[[#This Row],[Uncorrected NEFA]]/$I14</f>
        <v>18.285262552204731</v>
      </c>
      <c r="V14" s="2">
        <f>((Table1[[#This Row],[FA Amount (nM)]]-Table1[[#This Row],[NEFA]])/Table1[[#This Row],[FA Amount (nM)]])*100</f>
        <v>97.714342180974413</v>
      </c>
      <c r="W14" s="2">
        <f>Table1[[#This Row],[Uncorrected Lac]]/$I14</f>
        <v>0.19273655122594174</v>
      </c>
      <c r="X14" s="2">
        <f>Table1[[#This Row],[Uncorrected Urea]]/$I14</f>
        <v>0.12354907129868062</v>
      </c>
      <c r="Y14">
        <f>Table1[[#This Row],[FrTAG]]/Table1[[#This Row],[FrApoB]]</f>
        <v>4800</v>
      </c>
    </row>
    <row r="15" spans="1:28" x14ac:dyDescent="0.25">
      <c r="A15" s="2">
        <v>1</v>
      </c>
      <c r="B15">
        <v>5</v>
      </c>
      <c r="C15" s="2" t="s">
        <v>33</v>
      </c>
      <c r="D15" s="2">
        <v>800</v>
      </c>
      <c r="E15">
        <v>5.5</v>
      </c>
      <c r="F15">
        <v>0.5</v>
      </c>
      <c r="G15" s="2">
        <v>14</v>
      </c>
      <c r="H15" s="2" t="s">
        <v>27</v>
      </c>
      <c r="I15">
        <v>12.538467025854999</v>
      </c>
      <c r="J15" s="2">
        <v>0</v>
      </c>
      <c r="K15">
        <v>1</v>
      </c>
      <c r="L15">
        <v>15.2</v>
      </c>
      <c r="M15" s="2">
        <v>3.0000000000000001E-3</v>
      </c>
      <c r="N15">
        <v>2.1800000000000002</v>
      </c>
      <c r="O15">
        <v>2.3199999999999998</v>
      </c>
      <c r="P15">
        <v>1.6</v>
      </c>
      <c r="Q15" s="2">
        <f>Table1[[#This Row],[Uncorrected Glu]]/$I15</f>
        <v>0</v>
      </c>
      <c r="R15" s="2">
        <f>Table1[[#This Row],[Uncorrected 3OHB]]/$I15</f>
        <v>7.9754566322816481E-2</v>
      </c>
      <c r="S15" s="2">
        <f>Table1[[#This Row],[Uncorrected FrTAG]]/$I15</f>
        <v>1.2122694081068104</v>
      </c>
      <c r="T15" s="2">
        <f>Table1[[#This Row],[Uncorrected FrApoB]]/$I15</f>
        <v>2.3926369896844945E-4</v>
      </c>
      <c r="U15" s="2">
        <f>Table1[[#This Row],[Uncorrected NEFA]]/$I15</f>
        <v>0.17386495458373993</v>
      </c>
      <c r="V15" s="2">
        <f>((Table1[[#This Row],[FA Amount (nM)]]-Table1[[#This Row],[NEFA]])/Table1[[#This Row],[FA Amount (nM)]])*100</f>
        <v>99.978266880677026</v>
      </c>
      <c r="W15" s="2">
        <f>Table1[[#This Row],[Uncorrected Lac]]/$I15</f>
        <v>0.18503059386893422</v>
      </c>
      <c r="X15" s="2">
        <f>Table1[[#This Row],[Uncorrected Urea]]/$I15</f>
        <v>0.12760730611650636</v>
      </c>
      <c r="Y15">
        <f>Table1[[#This Row],[FrTAG]]/Table1[[#This Row],[FrApoB]]</f>
        <v>5066.6666666666661</v>
      </c>
    </row>
    <row r="16" spans="1:28" x14ac:dyDescent="0.25">
      <c r="A16" s="2">
        <v>1</v>
      </c>
      <c r="B16">
        <v>5</v>
      </c>
      <c r="C16" s="2" t="s">
        <v>33</v>
      </c>
      <c r="D16" s="2">
        <v>800</v>
      </c>
      <c r="E16">
        <v>5.5</v>
      </c>
      <c r="F16">
        <v>0.5</v>
      </c>
      <c r="G16" s="2">
        <v>15</v>
      </c>
      <c r="H16" s="2" t="s">
        <v>28</v>
      </c>
      <c r="I16">
        <v>12.41155080503</v>
      </c>
      <c r="J16" s="2">
        <v>0</v>
      </c>
      <c r="K16">
        <v>5</v>
      </c>
      <c r="L16">
        <v>14.7</v>
      </c>
      <c r="M16" s="2">
        <v>3.0000000000000001E-3</v>
      </c>
      <c r="N16">
        <v>219</v>
      </c>
      <c r="O16">
        <v>2.48</v>
      </c>
      <c r="P16">
        <v>1.4</v>
      </c>
      <c r="Q16" s="2">
        <f>Table1[[#This Row],[Uncorrected Glu]]/$I16</f>
        <v>0</v>
      </c>
      <c r="R16" s="2">
        <f>Table1[[#This Row],[Uncorrected 3OHB]]/$I16</f>
        <v>0.40285054450839952</v>
      </c>
      <c r="S16" s="2">
        <f>Table1[[#This Row],[Uncorrected FrTAG]]/$I16</f>
        <v>1.1843806008546947</v>
      </c>
      <c r="T16" s="2">
        <f>Table1[[#This Row],[Uncorrected FrApoB]]/$I16</f>
        <v>2.4171032670503972E-4</v>
      </c>
      <c r="U16" s="2">
        <f>Table1[[#This Row],[Uncorrected NEFA]]/$I16</f>
        <v>17.6448538494679</v>
      </c>
      <c r="V16" s="2">
        <f>((Table1[[#This Row],[FA Amount (nM)]]-Table1[[#This Row],[NEFA]])/Table1[[#This Row],[FA Amount (nM)]])*100</f>
        <v>97.794393268816506</v>
      </c>
      <c r="W16" s="2">
        <f>Table1[[#This Row],[Uncorrected Lac]]/$I16</f>
        <v>0.19981387007616616</v>
      </c>
      <c r="X16" s="2">
        <f>Table1[[#This Row],[Uncorrected Urea]]/$I16</f>
        <v>0.11279815246235186</v>
      </c>
      <c r="Y16">
        <f>Table1[[#This Row],[FrTAG]]/Table1[[#This Row],[FrApoB]]</f>
        <v>4900</v>
      </c>
    </row>
    <row r="17" spans="1:25" x14ac:dyDescent="0.25">
      <c r="A17" s="2">
        <v>1</v>
      </c>
      <c r="B17">
        <v>7</v>
      </c>
      <c r="C17" s="2" t="s">
        <v>33</v>
      </c>
      <c r="D17" s="2">
        <v>800</v>
      </c>
      <c r="E17">
        <v>5.5</v>
      </c>
      <c r="F17">
        <v>0.5</v>
      </c>
      <c r="G17" s="2">
        <v>16</v>
      </c>
      <c r="H17" s="2" t="s">
        <v>26</v>
      </c>
      <c r="I17">
        <v>12.14092493155</v>
      </c>
      <c r="J17" s="2">
        <v>0</v>
      </c>
      <c r="K17">
        <v>22</v>
      </c>
      <c r="L17">
        <v>3.2</v>
      </c>
      <c r="M17" s="2">
        <v>5.0000000000000001E-3</v>
      </c>
      <c r="N17">
        <v>126</v>
      </c>
      <c r="O17">
        <v>2.15</v>
      </c>
      <c r="P17">
        <v>1.6</v>
      </c>
      <c r="Q17" s="2">
        <f>Table1[[#This Row],[Uncorrected Glu]]/$I17</f>
        <v>0</v>
      </c>
      <c r="R17" s="2">
        <f>Table1[[#This Row],[Uncorrected 3OHB]]/$I17</f>
        <v>1.8120530457139823</v>
      </c>
      <c r="S17" s="2">
        <f>Table1[[#This Row],[Uncorrected FrTAG]]/$I17</f>
        <v>0.26357135210385202</v>
      </c>
      <c r="T17" s="2">
        <f>Table1[[#This Row],[Uncorrected FrApoB]]/$I17</f>
        <v>4.1183023766226874E-4</v>
      </c>
      <c r="U17" s="2">
        <f>Table1[[#This Row],[Uncorrected NEFA]]/$I17</f>
        <v>10.378121989089172</v>
      </c>
      <c r="V17" s="2">
        <f>((Table1[[#This Row],[FA Amount (nM)]]-Table1[[#This Row],[NEFA]])/Table1[[#This Row],[FA Amount (nM)]])*100</f>
        <v>98.702734751363849</v>
      </c>
      <c r="W17" s="2">
        <f>Table1[[#This Row],[Uncorrected Lac]]/$I17</f>
        <v>0.17708700219477555</v>
      </c>
      <c r="X17" s="2">
        <f>Table1[[#This Row],[Uncorrected Urea]]/$I17</f>
        <v>0.13178567605192601</v>
      </c>
      <c r="Y17">
        <f>Table1[[#This Row],[FrTAG]]/Table1[[#This Row],[FrApoB]]</f>
        <v>640.00000000000011</v>
      </c>
    </row>
    <row r="18" spans="1:25" x14ac:dyDescent="0.25">
      <c r="A18" s="2">
        <v>1</v>
      </c>
      <c r="B18">
        <v>7</v>
      </c>
      <c r="C18" s="2" t="s">
        <v>33</v>
      </c>
      <c r="D18" s="2">
        <v>800</v>
      </c>
      <c r="E18">
        <v>5.5</v>
      </c>
      <c r="F18">
        <v>0.5</v>
      </c>
      <c r="G18" s="2">
        <v>17</v>
      </c>
      <c r="H18" s="2" t="s">
        <v>27</v>
      </c>
      <c r="I18">
        <v>12.538467025854999</v>
      </c>
      <c r="J18" s="2">
        <v>0</v>
      </c>
      <c r="K18">
        <v>18</v>
      </c>
      <c r="L18">
        <v>3.8</v>
      </c>
      <c r="M18" s="2">
        <v>5.0000000000000001E-3</v>
      </c>
      <c r="N18">
        <v>121</v>
      </c>
      <c r="O18">
        <v>2.41</v>
      </c>
      <c r="P18">
        <v>1.5</v>
      </c>
      <c r="Q18" s="2">
        <f>Table1[[#This Row],[Uncorrected Glu]]/$I18</f>
        <v>0</v>
      </c>
      <c r="R18" s="2">
        <f>Table1[[#This Row],[Uncorrected 3OHB]]/$I18</f>
        <v>1.4355821938106967</v>
      </c>
      <c r="S18" s="2">
        <f>Table1[[#This Row],[Uncorrected FrTAG]]/$I18</f>
        <v>0.3030673520267026</v>
      </c>
      <c r="T18" s="2">
        <f>Table1[[#This Row],[Uncorrected FrApoB]]/$I18</f>
        <v>3.9877283161408243E-4</v>
      </c>
      <c r="U18" s="2">
        <f>Table1[[#This Row],[Uncorrected NEFA]]/$I18</f>
        <v>9.6503025250607948</v>
      </c>
      <c r="V18" s="2">
        <f>((Table1[[#This Row],[FA Amount (nM)]]-Table1[[#This Row],[NEFA]])/Table1[[#This Row],[FA Amount (nM)]])*100</f>
        <v>98.793712184367394</v>
      </c>
      <c r="W18" s="2">
        <f>Table1[[#This Row],[Uncorrected Lac]]/$I18</f>
        <v>0.19220850483798774</v>
      </c>
      <c r="X18" s="2">
        <f>Table1[[#This Row],[Uncorrected Urea]]/$I18</f>
        <v>0.11963184948422471</v>
      </c>
      <c r="Y18">
        <f>Table1[[#This Row],[FrTAG]]/Table1[[#This Row],[FrApoB]]</f>
        <v>759.99999999999989</v>
      </c>
    </row>
    <row r="19" spans="1:25" x14ac:dyDescent="0.25">
      <c r="A19" s="2">
        <v>1</v>
      </c>
      <c r="B19">
        <v>7</v>
      </c>
      <c r="C19" s="2" t="s">
        <v>33</v>
      </c>
      <c r="D19" s="2">
        <v>800</v>
      </c>
      <c r="E19">
        <v>5.5</v>
      </c>
      <c r="F19">
        <v>0.5</v>
      </c>
      <c r="G19" s="2">
        <v>18</v>
      </c>
      <c r="H19" s="2" t="s">
        <v>28</v>
      </c>
      <c r="I19">
        <v>12.41155080503</v>
      </c>
      <c r="J19" s="2">
        <v>0</v>
      </c>
      <c r="K19">
        <v>4</v>
      </c>
      <c r="L19">
        <v>3</v>
      </c>
      <c r="M19" s="2">
        <v>4.0000000000000001E-3</v>
      </c>
      <c r="N19">
        <v>116</v>
      </c>
      <c r="O19">
        <v>2.36</v>
      </c>
      <c r="P19">
        <v>1.4</v>
      </c>
      <c r="Q19" s="2">
        <f>Table1[[#This Row],[Uncorrected Glu]]/$I19</f>
        <v>0</v>
      </c>
      <c r="R19" s="2">
        <f>Table1[[#This Row],[Uncorrected 3OHB]]/$I19</f>
        <v>0.3222804356067196</v>
      </c>
      <c r="S19" s="2">
        <f>Table1[[#This Row],[Uncorrected FrTAG]]/$I19</f>
        <v>0.24171032670503972</v>
      </c>
      <c r="T19" s="2">
        <f>Table1[[#This Row],[Uncorrected FrApoB]]/$I19</f>
        <v>3.2228043560671962E-4</v>
      </c>
      <c r="U19" s="2">
        <f>Table1[[#This Row],[Uncorrected NEFA]]/$I19</f>
        <v>9.3461326325948697</v>
      </c>
      <c r="V19" s="2">
        <f>((Table1[[#This Row],[FA Amount (nM)]]-Table1[[#This Row],[NEFA]])/Table1[[#This Row],[FA Amount (nM)]])*100</f>
        <v>98.831733420925644</v>
      </c>
      <c r="W19" s="2">
        <f>Table1[[#This Row],[Uncorrected Lac]]/$I19</f>
        <v>0.19014545700796456</v>
      </c>
      <c r="X19" s="2">
        <f>Table1[[#This Row],[Uncorrected Urea]]/$I19</f>
        <v>0.11279815246235186</v>
      </c>
      <c r="Y19">
        <f>Table1[[#This Row],[FrTAG]]/Table1[[#This Row],[FrApoB]]</f>
        <v>750</v>
      </c>
    </row>
    <row r="20" spans="1:25" x14ac:dyDescent="0.25">
      <c r="A20" s="2">
        <v>1</v>
      </c>
      <c r="B20">
        <v>2</v>
      </c>
      <c r="C20" s="2" t="s">
        <v>34</v>
      </c>
      <c r="D20" s="2">
        <v>800</v>
      </c>
      <c r="E20">
        <v>5.5</v>
      </c>
      <c r="F20">
        <v>0.5</v>
      </c>
      <c r="G20" s="2">
        <v>19</v>
      </c>
      <c r="H20" s="2" t="s">
        <v>29</v>
      </c>
      <c r="I20">
        <v>10.689925677875003</v>
      </c>
      <c r="J20" s="2">
        <v>0</v>
      </c>
      <c r="K20">
        <v>0</v>
      </c>
      <c r="L20">
        <v>29.4</v>
      </c>
      <c r="M20" s="2">
        <v>4.0000000000000001E-3</v>
      </c>
      <c r="N20">
        <v>417</v>
      </c>
      <c r="O20">
        <v>8.2200000000000006</v>
      </c>
      <c r="P20">
        <v>1.2</v>
      </c>
      <c r="Q20" s="2">
        <f>Table1[[#This Row],[Uncorrected Glu]]/$I20</f>
        <v>0</v>
      </c>
      <c r="R20" s="2">
        <f>Table1[[#This Row],[Uncorrected 3OHB]]/$I20</f>
        <v>0</v>
      </c>
      <c r="S20" s="2">
        <f>Table1[[#This Row],[Uncorrected FrTAG]]/$I20</f>
        <v>2.7502529845319073</v>
      </c>
      <c r="T20" s="2">
        <f>Table1[[#This Row],[Uncorrected FrApoB]]/$I20</f>
        <v>3.7418407952815067E-4</v>
      </c>
      <c r="U20" s="2">
        <f>Table1[[#This Row],[Uncorrected NEFA]]/$I20</f>
        <v>39.00869029080971</v>
      </c>
      <c r="V20" s="2">
        <f>((Table1[[#This Row],[FA Amount (nM)]]-Table1[[#This Row],[NEFA]])/Table1[[#This Row],[FA Amount (nM)]])*100</f>
        <v>95.12391371364879</v>
      </c>
      <c r="W20" s="2">
        <f>Table1[[#This Row],[Uncorrected Lac]]/$I20</f>
        <v>0.76894828343034971</v>
      </c>
      <c r="X20" s="2">
        <f>Table1[[#This Row],[Uncorrected Urea]]/$I20</f>
        <v>0.11225522385844519</v>
      </c>
      <c r="Y20">
        <f>Table1[[#This Row],[FrTAG]]/Table1[[#This Row],[FrApoB]]</f>
        <v>7349.9999999999991</v>
      </c>
    </row>
    <row r="21" spans="1:25" x14ac:dyDescent="0.25">
      <c r="A21" s="2">
        <v>1</v>
      </c>
      <c r="B21">
        <v>2</v>
      </c>
      <c r="C21" s="2" t="s">
        <v>34</v>
      </c>
      <c r="D21" s="2">
        <v>800</v>
      </c>
      <c r="E21">
        <v>5.5</v>
      </c>
      <c r="F21">
        <v>0.5</v>
      </c>
      <c r="G21" s="2">
        <v>20</v>
      </c>
      <c r="H21" s="2" t="s">
        <v>30</v>
      </c>
      <c r="I21">
        <v>8.2693964072949999</v>
      </c>
      <c r="J21" s="2">
        <v>0</v>
      </c>
      <c r="K21">
        <v>2</v>
      </c>
      <c r="L21">
        <v>29.1</v>
      </c>
      <c r="M21" s="2">
        <v>3.0000000000000001E-3</v>
      </c>
      <c r="N21">
        <v>402</v>
      </c>
      <c r="O21">
        <v>8.2899999999999991</v>
      </c>
      <c r="P21">
        <v>1.5</v>
      </c>
      <c r="Q21" s="2">
        <f>Table1[[#This Row],[Uncorrected Glu]]/$I21</f>
        <v>0</v>
      </c>
      <c r="R21" s="2">
        <f>Table1[[#This Row],[Uncorrected 3OHB]]/$I21</f>
        <v>0.24185562059108248</v>
      </c>
      <c r="S21" s="2">
        <f>Table1[[#This Row],[Uncorrected FrTAG]]/$I21</f>
        <v>3.5189992796002501</v>
      </c>
      <c r="T21" s="2">
        <f>Table1[[#This Row],[Uncorrected FrApoB]]/$I21</f>
        <v>3.6278343088662373E-4</v>
      </c>
      <c r="U21" s="2">
        <f>Table1[[#This Row],[Uncorrected NEFA]]/$I21</f>
        <v>48.612979738807574</v>
      </c>
      <c r="V21" s="2">
        <f>((Table1[[#This Row],[FA Amount (nM)]]-Table1[[#This Row],[NEFA]])/Table1[[#This Row],[FA Amount (nM)]])*100</f>
        <v>93.923377532649056</v>
      </c>
      <c r="W21" s="2">
        <f>Table1[[#This Row],[Uncorrected Lac]]/$I21</f>
        <v>1.0024915473500366</v>
      </c>
      <c r="X21" s="2">
        <f>Table1[[#This Row],[Uncorrected Urea]]/$I21</f>
        <v>0.18139171544331184</v>
      </c>
      <c r="Y21">
        <f>Table1[[#This Row],[FrTAG]]/Table1[[#This Row],[FrApoB]]</f>
        <v>9700</v>
      </c>
    </row>
    <row r="22" spans="1:25" x14ac:dyDescent="0.25">
      <c r="A22" s="2">
        <v>1</v>
      </c>
      <c r="B22">
        <v>2</v>
      </c>
      <c r="C22" s="2" t="s">
        <v>34</v>
      </c>
      <c r="D22" s="2">
        <v>800</v>
      </c>
      <c r="E22">
        <v>5.5</v>
      </c>
      <c r="F22">
        <v>0.5</v>
      </c>
      <c r="G22" s="2">
        <v>21</v>
      </c>
      <c r="H22" s="2" t="s">
        <v>31</v>
      </c>
      <c r="I22">
        <v>8.0785338429999989</v>
      </c>
      <c r="J22" s="2">
        <v>0</v>
      </c>
      <c r="K22">
        <v>0</v>
      </c>
      <c r="L22">
        <v>28.4</v>
      </c>
      <c r="M22" s="2">
        <v>3.0000000000000001E-3</v>
      </c>
      <c r="N22">
        <v>441</v>
      </c>
      <c r="O22">
        <v>8.33</v>
      </c>
      <c r="P22">
        <v>1.2</v>
      </c>
      <c r="Q22" s="2">
        <f>Table1[[#This Row],[Uncorrected Glu]]/$I22</f>
        <v>0</v>
      </c>
      <c r="R22" s="2">
        <f>Table1[[#This Row],[Uncorrected 3OHB]]/$I22</f>
        <v>0</v>
      </c>
      <c r="S22" s="2">
        <f>Table1[[#This Row],[Uncorrected FrTAG]]/$I22</f>
        <v>3.5154893885365635</v>
      </c>
      <c r="T22" s="2">
        <f>Table1[[#This Row],[Uncorrected FrApoB]]/$I22</f>
        <v>3.7135451287358064E-4</v>
      </c>
      <c r="U22" s="2">
        <f>Table1[[#This Row],[Uncorrected NEFA]]/$I22</f>
        <v>54.589113392416351</v>
      </c>
      <c r="V22" s="2">
        <f>((Table1[[#This Row],[FA Amount (nM)]]-Table1[[#This Row],[NEFA]])/Table1[[#This Row],[FA Amount (nM)]])*100</f>
        <v>93.176360825947953</v>
      </c>
      <c r="W22" s="2">
        <f>Table1[[#This Row],[Uncorrected Lac]]/$I22</f>
        <v>1.0311276974123089</v>
      </c>
      <c r="X22" s="2">
        <f>Table1[[#This Row],[Uncorrected Urea]]/$I22</f>
        <v>0.14854180514943224</v>
      </c>
      <c r="Y22">
        <f>Table1[[#This Row],[FrTAG]]/Table1[[#This Row],[FrApoB]]</f>
        <v>9466.6666666666661</v>
      </c>
    </row>
    <row r="23" spans="1:25" x14ac:dyDescent="0.25">
      <c r="A23" s="2">
        <v>1</v>
      </c>
      <c r="B23">
        <v>5</v>
      </c>
      <c r="C23" s="2" t="s">
        <v>34</v>
      </c>
      <c r="D23" s="2">
        <v>800</v>
      </c>
      <c r="E23">
        <v>5.5</v>
      </c>
      <c r="F23">
        <v>0.5</v>
      </c>
      <c r="G23" s="2">
        <v>22</v>
      </c>
      <c r="H23" s="2" t="s">
        <v>29</v>
      </c>
      <c r="I23">
        <v>10.689925677875003</v>
      </c>
      <c r="J23" s="2">
        <v>0</v>
      </c>
      <c r="K23">
        <v>4</v>
      </c>
      <c r="L23">
        <v>18.100000000000001</v>
      </c>
      <c r="M23" s="2">
        <v>3.0000000000000001E-3</v>
      </c>
      <c r="N23">
        <v>357</v>
      </c>
      <c r="O23">
        <v>3.55</v>
      </c>
      <c r="P23">
        <v>1.6</v>
      </c>
      <c r="Q23" s="2">
        <f>Table1[[#This Row],[Uncorrected Glu]]/$I23</f>
        <v>0</v>
      </c>
      <c r="R23" s="2">
        <f>Table1[[#This Row],[Uncorrected 3OHB]]/$I23</f>
        <v>0.37418407952815069</v>
      </c>
      <c r="S23" s="2">
        <f>Table1[[#This Row],[Uncorrected FrTAG]]/$I23</f>
        <v>1.693182959864882</v>
      </c>
      <c r="T23" s="2">
        <f>Table1[[#This Row],[Uncorrected FrApoB]]/$I23</f>
        <v>2.8063805964611302E-4</v>
      </c>
      <c r="U23" s="2">
        <f>Table1[[#This Row],[Uncorrected NEFA]]/$I23</f>
        <v>33.395929097887446</v>
      </c>
      <c r="V23" s="2">
        <f>((Table1[[#This Row],[FA Amount (nM)]]-Table1[[#This Row],[NEFA]])/Table1[[#This Row],[FA Amount (nM)]])*100</f>
        <v>95.825508862764067</v>
      </c>
      <c r="W23" s="2">
        <f>Table1[[#This Row],[Uncorrected Lac]]/$I23</f>
        <v>0.33208837058123369</v>
      </c>
      <c r="X23" s="2">
        <f>Table1[[#This Row],[Uncorrected Urea]]/$I23</f>
        <v>0.14967363181126028</v>
      </c>
      <c r="Y23">
        <f>Table1[[#This Row],[FrTAG]]/Table1[[#This Row],[FrApoB]]</f>
        <v>6033.3333333333339</v>
      </c>
    </row>
    <row r="24" spans="1:25" x14ac:dyDescent="0.25">
      <c r="A24" s="2">
        <v>1</v>
      </c>
      <c r="B24">
        <v>5</v>
      </c>
      <c r="C24" s="2" t="s">
        <v>34</v>
      </c>
      <c r="D24" s="2">
        <v>800</v>
      </c>
      <c r="E24">
        <v>5.5</v>
      </c>
      <c r="F24">
        <v>0.5</v>
      </c>
      <c r="G24" s="2">
        <v>23</v>
      </c>
      <c r="H24" s="2" t="s">
        <v>30</v>
      </c>
      <c r="I24">
        <v>8.2693964072949999</v>
      </c>
      <c r="J24" s="2">
        <v>0</v>
      </c>
      <c r="K24">
        <v>0</v>
      </c>
      <c r="L24">
        <v>17.3</v>
      </c>
      <c r="M24" s="2">
        <v>3.0000000000000001E-3</v>
      </c>
      <c r="N24">
        <v>351</v>
      </c>
      <c r="O24">
        <v>3.35</v>
      </c>
      <c r="P24">
        <v>1.8</v>
      </c>
      <c r="Q24" s="2">
        <f>Table1[[#This Row],[Uncorrected Glu]]/$I24</f>
        <v>0</v>
      </c>
      <c r="R24" s="2">
        <f>Table1[[#This Row],[Uncorrected 3OHB]]/$I24</f>
        <v>0</v>
      </c>
      <c r="S24" s="2">
        <f>Table1[[#This Row],[Uncorrected FrTAG]]/$I24</f>
        <v>2.0920511181128636</v>
      </c>
      <c r="T24" s="2">
        <f>Table1[[#This Row],[Uncorrected FrApoB]]/$I24</f>
        <v>3.6278343088662373E-4</v>
      </c>
      <c r="U24" s="2">
        <f>Table1[[#This Row],[Uncorrected NEFA]]/$I24</f>
        <v>42.445661413734975</v>
      </c>
      <c r="V24" s="2">
        <f>((Table1[[#This Row],[FA Amount (nM)]]-Table1[[#This Row],[NEFA]])/Table1[[#This Row],[FA Amount (nM)]])*100</f>
        <v>94.694292323283122</v>
      </c>
      <c r="W24" s="2">
        <f>Table1[[#This Row],[Uncorrected Lac]]/$I24</f>
        <v>0.40510816449006315</v>
      </c>
      <c r="X24" s="2">
        <f>Table1[[#This Row],[Uncorrected Urea]]/$I24</f>
        <v>0.21767005853197424</v>
      </c>
      <c r="Y24">
        <f>Table1[[#This Row],[FrTAG]]/Table1[[#This Row],[FrApoB]]</f>
        <v>5766.666666666667</v>
      </c>
    </row>
    <row r="25" spans="1:25" x14ac:dyDescent="0.25">
      <c r="A25" s="2">
        <v>1</v>
      </c>
      <c r="B25">
        <v>5</v>
      </c>
      <c r="C25" s="2" t="s">
        <v>34</v>
      </c>
      <c r="D25" s="2">
        <v>800</v>
      </c>
      <c r="E25">
        <v>5.5</v>
      </c>
      <c r="F25">
        <v>0.5</v>
      </c>
      <c r="G25" s="2">
        <v>24</v>
      </c>
      <c r="H25" s="2" t="s">
        <v>31</v>
      </c>
      <c r="I25">
        <v>8.0785338429999989</v>
      </c>
      <c r="J25" s="2">
        <v>0</v>
      </c>
      <c r="K25">
        <v>0</v>
      </c>
      <c r="L25">
        <v>17.5</v>
      </c>
      <c r="M25" s="2">
        <v>3.0000000000000001E-3</v>
      </c>
      <c r="N25">
        <v>368</v>
      </c>
      <c r="O25">
        <v>3.65</v>
      </c>
      <c r="P25">
        <v>1.6</v>
      </c>
      <c r="Q25" s="2">
        <f>Table1[[#This Row],[Uncorrected Glu]]/$I25</f>
        <v>0</v>
      </c>
      <c r="R25" s="2">
        <f>Table1[[#This Row],[Uncorrected 3OHB]]/$I25</f>
        <v>0</v>
      </c>
      <c r="S25" s="2">
        <f>Table1[[#This Row],[Uncorrected FrTAG]]/$I25</f>
        <v>2.1662346584292203</v>
      </c>
      <c r="T25" s="2">
        <f>Table1[[#This Row],[Uncorrected FrApoB]]/$I25</f>
        <v>3.7135451287358064E-4</v>
      </c>
      <c r="U25" s="2">
        <f>Table1[[#This Row],[Uncorrected NEFA]]/$I25</f>
        <v>45.552820245825892</v>
      </c>
      <c r="V25" s="2">
        <f>((Table1[[#This Row],[FA Amount (nM)]]-Table1[[#This Row],[NEFA]])/Table1[[#This Row],[FA Amount (nM)]])*100</f>
        <v>94.30589746927177</v>
      </c>
      <c r="W25" s="2">
        <f>Table1[[#This Row],[Uncorrected Lac]]/$I25</f>
        <v>0.45181465732952308</v>
      </c>
      <c r="X25" s="2">
        <f>Table1[[#This Row],[Uncorrected Urea]]/$I25</f>
        <v>0.19805574019924302</v>
      </c>
      <c r="Y25">
        <f>Table1[[#This Row],[FrTAG]]/Table1[[#This Row],[FrApoB]]</f>
        <v>5833.333333333333</v>
      </c>
    </row>
    <row r="26" spans="1:25" x14ac:dyDescent="0.25">
      <c r="A26" s="2">
        <v>1</v>
      </c>
      <c r="B26">
        <v>7</v>
      </c>
      <c r="C26" s="2" t="s">
        <v>34</v>
      </c>
      <c r="D26" s="2">
        <v>800</v>
      </c>
      <c r="E26">
        <v>5.5</v>
      </c>
      <c r="F26">
        <v>0.5</v>
      </c>
      <c r="G26" s="2">
        <v>25</v>
      </c>
      <c r="H26" s="2" t="s">
        <v>29</v>
      </c>
      <c r="I26">
        <v>10.689925677875003</v>
      </c>
      <c r="J26" s="2">
        <v>0</v>
      </c>
      <c r="K26">
        <v>9</v>
      </c>
      <c r="L26">
        <v>8.9</v>
      </c>
      <c r="M26" s="2">
        <v>6.0000000000000001E-3</v>
      </c>
      <c r="N26">
        <v>245</v>
      </c>
      <c r="O26">
        <v>3.35</v>
      </c>
      <c r="P26">
        <v>1.8</v>
      </c>
      <c r="Q26" s="2">
        <f>Table1[[#This Row],[Uncorrected Glu]]/$I26</f>
        <v>0</v>
      </c>
      <c r="R26" s="2">
        <f>Table1[[#This Row],[Uncorrected 3OHB]]/$I26</f>
        <v>0.84191417893833898</v>
      </c>
      <c r="S26" s="2">
        <f>Table1[[#This Row],[Uncorrected FrTAG]]/$I26</f>
        <v>0.83255957695013527</v>
      </c>
      <c r="T26" s="2">
        <f>Table1[[#This Row],[Uncorrected FrApoB]]/$I26</f>
        <v>5.6127611929222604E-4</v>
      </c>
      <c r="U26" s="2">
        <f>Table1[[#This Row],[Uncorrected NEFA]]/$I26</f>
        <v>22.918774871099227</v>
      </c>
      <c r="V26" s="2">
        <f>((Table1[[#This Row],[FA Amount (nM)]]-Table1[[#This Row],[NEFA]])/Table1[[#This Row],[FA Amount (nM)]])*100</f>
        <v>97.135153141112596</v>
      </c>
      <c r="W26" s="2">
        <f>Table1[[#This Row],[Uncorrected Lac]]/$I26</f>
        <v>0.31337916660482618</v>
      </c>
      <c r="X26" s="2">
        <f>Table1[[#This Row],[Uncorrected Urea]]/$I26</f>
        <v>0.1683828357876678</v>
      </c>
      <c r="Y26">
        <f>Table1[[#This Row],[FrTAG]]/Table1[[#This Row],[FrApoB]]</f>
        <v>1483.3333333333333</v>
      </c>
    </row>
    <row r="27" spans="1:25" x14ac:dyDescent="0.25">
      <c r="A27" s="2">
        <v>1</v>
      </c>
      <c r="B27">
        <v>7</v>
      </c>
      <c r="C27" s="2" t="s">
        <v>34</v>
      </c>
      <c r="D27" s="2">
        <v>800</v>
      </c>
      <c r="E27">
        <v>5.5</v>
      </c>
      <c r="F27">
        <v>0.5</v>
      </c>
      <c r="G27" s="2">
        <v>26</v>
      </c>
      <c r="H27" s="2" t="s">
        <v>30</v>
      </c>
      <c r="I27">
        <v>8.2693964072949999</v>
      </c>
      <c r="J27" s="2">
        <v>0</v>
      </c>
      <c r="K27">
        <v>0</v>
      </c>
      <c r="L27">
        <v>9.4</v>
      </c>
      <c r="M27" s="2">
        <v>6.0000000000000001E-3</v>
      </c>
      <c r="N27">
        <v>239</v>
      </c>
      <c r="O27">
        <v>3.45</v>
      </c>
      <c r="P27">
        <v>1.7</v>
      </c>
      <c r="Q27" s="2">
        <f>Table1[[#This Row],[Uncorrected Glu]]/$I27</f>
        <v>0</v>
      </c>
      <c r="R27" s="2">
        <f>Table1[[#This Row],[Uncorrected 3OHB]]/$I27</f>
        <v>0</v>
      </c>
      <c r="S27" s="2">
        <f>Table1[[#This Row],[Uncorrected FrTAG]]/$I27</f>
        <v>1.1367214167780877</v>
      </c>
      <c r="T27" s="2">
        <f>Table1[[#This Row],[Uncorrected FrApoB]]/$I27</f>
        <v>7.2556686177324746E-4</v>
      </c>
      <c r="U27" s="2">
        <f>Table1[[#This Row],[Uncorrected NEFA]]/$I27</f>
        <v>28.901746660634355</v>
      </c>
      <c r="V27" s="2">
        <f>((Table1[[#This Row],[FA Amount (nM)]]-Table1[[#This Row],[NEFA]])/Table1[[#This Row],[FA Amount (nM)]])*100</f>
        <v>96.387281667420709</v>
      </c>
      <c r="W27" s="2">
        <f>Table1[[#This Row],[Uncorrected Lac]]/$I27</f>
        <v>0.41720094551961728</v>
      </c>
      <c r="X27" s="2">
        <f>Table1[[#This Row],[Uncorrected Urea]]/$I27</f>
        <v>0.20557727750242011</v>
      </c>
      <c r="Y27">
        <f>Table1[[#This Row],[FrTAG]]/Table1[[#This Row],[FrApoB]]</f>
        <v>1566.6666666666667</v>
      </c>
    </row>
    <row r="28" spans="1:25" x14ac:dyDescent="0.25">
      <c r="A28" s="2">
        <v>1</v>
      </c>
      <c r="B28">
        <v>7</v>
      </c>
      <c r="C28" s="2" t="s">
        <v>34</v>
      </c>
      <c r="D28" s="2">
        <v>800</v>
      </c>
      <c r="E28">
        <v>5.5</v>
      </c>
      <c r="F28">
        <v>0.5</v>
      </c>
      <c r="G28" s="2">
        <v>27</v>
      </c>
      <c r="H28" s="2" t="s">
        <v>31</v>
      </c>
      <c r="I28">
        <v>8.0785338429999989</v>
      </c>
      <c r="J28" s="2">
        <v>0</v>
      </c>
      <c r="K28" s="2">
        <v>1</v>
      </c>
      <c r="L28" s="2">
        <v>10.3</v>
      </c>
      <c r="M28" s="2">
        <v>7.0000000000000001E-3</v>
      </c>
      <c r="N28" s="2">
        <v>256</v>
      </c>
      <c r="O28" s="2">
        <v>3.62</v>
      </c>
      <c r="P28" s="2">
        <v>1.8</v>
      </c>
      <c r="Q28" s="2">
        <f>Table1[[#This Row],[Uncorrected Glu]]/$I28</f>
        <v>0</v>
      </c>
      <c r="R28" s="2">
        <f>Table1[[#This Row],[Uncorrected 3OHB]]/$I28</f>
        <v>0.12378483762452688</v>
      </c>
      <c r="S28" s="2">
        <f>Table1[[#This Row],[Uncorrected FrTAG]]/$I28</f>
        <v>1.2749838275326271</v>
      </c>
      <c r="T28" s="2">
        <f>Table1[[#This Row],[Uncorrected FrApoB]]/$I28</f>
        <v>8.6649386337168813E-4</v>
      </c>
      <c r="U28" s="2">
        <f>Table1[[#This Row],[Uncorrected NEFA]]/$I28</f>
        <v>31.688918431878882</v>
      </c>
      <c r="V28" s="2">
        <f>((Table1[[#This Row],[FA Amount (nM)]]-Table1[[#This Row],[NEFA]])/Table1[[#This Row],[FA Amount (nM)]])*100</f>
        <v>96.038885196015144</v>
      </c>
      <c r="W28" s="2">
        <f>Table1[[#This Row],[Uncorrected Lac]]/$I28</f>
        <v>0.4481011122007873</v>
      </c>
      <c r="X28" s="2">
        <f>Table1[[#This Row],[Uncorrected Urea]]/$I28</f>
        <v>0.22281270772414838</v>
      </c>
      <c r="Y28">
        <f>Table1[[#This Row],[FrTAG]]/Table1[[#This Row],[FrApoB]]</f>
        <v>1471.4285714285718</v>
      </c>
    </row>
  </sheetData>
  <phoneticPr fontId="1" type="noConversion"/>
  <conditionalFormatting sqref="J29:P1048576 K13:M13 P13 J1:P2 K3:P12 K14:P28 J3:J28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7170-1B93-4355-891B-7AA063326E86}">
  <dimension ref="A1:Q28"/>
  <sheetViews>
    <sheetView workbookViewId="0">
      <selection activeCell="Q1" sqref="Q1:Q28"/>
    </sheetView>
  </sheetViews>
  <sheetFormatPr defaultRowHeight="15" x14ac:dyDescent="0.25"/>
  <cols>
    <col min="2" max="2" width="24.7109375" customWidth="1"/>
    <col min="3" max="3" width="9.7109375" customWidth="1"/>
    <col min="4" max="4" width="17.85546875" customWidth="1"/>
    <col min="5" max="5" width="16.85546875" customWidth="1"/>
    <col min="6" max="6" width="14" customWidth="1"/>
    <col min="7" max="7" width="17.42578125" customWidth="1"/>
    <col min="8" max="8" width="15.42578125" customWidth="1"/>
    <col min="9" max="9" width="17.7109375" customWidth="1"/>
    <col min="12" max="12" width="9.5703125" customWidth="1"/>
    <col min="14" max="14" width="12.85546875" customWidth="1"/>
  </cols>
  <sheetData>
    <row r="1" spans="1:17" ht="45" x14ac:dyDescent="0.25">
      <c r="A1" t="s">
        <v>0</v>
      </c>
      <c r="B1" t="s">
        <v>4</v>
      </c>
      <c r="C1" t="s">
        <v>3</v>
      </c>
      <c r="D1" t="s">
        <v>36</v>
      </c>
      <c r="E1" t="s">
        <v>1</v>
      </c>
      <c r="F1" t="s">
        <v>2</v>
      </c>
      <c r="G1" t="s">
        <v>15</v>
      </c>
      <c r="H1" t="s">
        <v>6</v>
      </c>
      <c r="I1" t="s">
        <v>5</v>
      </c>
      <c r="J1" t="s">
        <v>13</v>
      </c>
      <c r="K1" t="s">
        <v>8</v>
      </c>
      <c r="L1" t="s">
        <v>9</v>
      </c>
      <c r="M1" t="s">
        <v>10</v>
      </c>
      <c r="N1" t="s">
        <v>22</v>
      </c>
      <c r="O1" t="s">
        <v>11</v>
      </c>
      <c r="P1" t="s">
        <v>12</v>
      </c>
      <c r="Q1" s="1" t="s">
        <v>48</v>
      </c>
    </row>
    <row r="2" spans="1:17" x14ac:dyDescent="0.25">
      <c r="A2">
        <v>1</v>
      </c>
      <c r="B2">
        <v>2</v>
      </c>
      <c r="C2" t="s">
        <v>32</v>
      </c>
      <c r="D2">
        <v>0</v>
      </c>
      <c r="E2">
        <v>5.5</v>
      </c>
      <c r="F2">
        <v>0.5</v>
      </c>
      <c r="G2">
        <v>1</v>
      </c>
      <c r="H2" t="s">
        <v>23</v>
      </c>
      <c r="I2">
        <v>12.842644915600001</v>
      </c>
      <c r="J2">
        <v>0</v>
      </c>
      <c r="K2">
        <v>0</v>
      </c>
      <c r="L2">
        <v>4.6719348229520705E-4</v>
      </c>
      <c r="M2">
        <v>0.46719348229520707</v>
      </c>
      <c r="O2">
        <v>0.70624081406958805</v>
      </c>
      <c r="P2">
        <v>0.10122525449729486</v>
      </c>
      <c r="Q2" s="2">
        <v>0</v>
      </c>
    </row>
    <row r="3" spans="1:17" x14ac:dyDescent="0.25">
      <c r="A3">
        <v>1</v>
      </c>
      <c r="B3">
        <v>2</v>
      </c>
      <c r="C3" t="s">
        <v>32</v>
      </c>
      <c r="D3">
        <v>0</v>
      </c>
      <c r="E3">
        <v>5.5</v>
      </c>
      <c r="F3">
        <v>0.5</v>
      </c>
      <c r="G3">
        <v>2</v>
      </c>
      <c r="H3" t="s">
        <v>24</v>
      </c>
      <c r="I3">
        <v>8.8765500901999985</v>
      </c>
      <c r="J3">
        <v>0</v>
      </c>
      <c r="K3">
        <v>0</v>
      </c>
      <c r="L3">
        <v>4.5062551997719597E-4</v>
      </c>
      <c r="M3">
        <v>0.90125103995439193</v>
      </c>
      <c r="O3">
        <v>1.0262996217480638</v>
      </c>
      <c r="P3">
        <v>0.14645329399258869</v>
      </c>
      <c r="Q3" s="2">
        <v>0</v>
      </c>
    </row>
    <row r="4" spans="1:17" x14ac:dyDescent="0.25">
      <c r="A4">
        <v>1</v>
      </c>
      <c r="B4">
        <v>2</v>
      </c>
      <c r="C4" t="s">
        <v>32</v>
      </c>
      <c r="D4">
        <v>0</v>
      </c>
      <c r="E4">
        <v>5.5</v>
      </c>
      <c r="F4">
        <v>0.5</v>
      </c>
      <c r="G4">
        <v>3</v>
      </c>
      <c r="H4" t="s">
        <v>25</v>
      </c>
      <c r="I4">
        <v>8.7686698433749992</v>
      </c>
      <c r="J4">
        <v>0.91233905973141949</v>
      </c>
      <c r="K4">
        <v>0</v>
      </c>
      <c r="L4">
        <v>4.5616952986570977E-4</v>
      </c>
      <c r="M4">
        <v>0.68425429479856459</v>
      </c>
      <c r="O4">
        <v>1.0571728854637823</v>
      </c>
      <c r="P4">
        <v>0.1596593354529984</v>
      </c>
      <c r="Q4" s="2">
        <v>0</v>
      </c>
    </row>
    <row r="5" spans="1:17" x14ac:dyDescent="0.25">
      <c r="A5">
        <v>1</v>
      </c>
      <c r="B5">
        <v>5</v>
      </c>
      <c r="C5" t="s">
        <v>32</v>
      </c>
      <c r="D5">
        <v>0</v>
      </c>
      <c r="E5">
        <v>5.5</v>
      </c>
      <c r="F5">
        <v>0.5</v>
      </c>
      <c r="G5">
        <v>4</v>
      </c>
      <c r="H5" t="s">
        <v>23</v>
      </c>
      <c r="I5">
        <v>12.842644915600001</v>
      </c>
      <c r="J5">
        <v>0.38932790191267252</v>
      </c>
      <c r="K5">
        <v>0</v>
      </c>
      <c r="L5">
        <v>3.1146232153013805E-4</v>
      </c>
      <c r="M5">
        <v>0.38932790191267252</v>
      </c>
      <c r="O5">
        <v>0.32392081439134357</v>
      </c>
      <c r="P5">
        <v>0.14015804468856213</v>
      </c>
      <c r="Q5" s="2">
        <v>0</v>
      </c>
    </row>
    <row r="6" spans="1:17" x14ac:dyDescent="0.25">
      <c r="A6">
        <v>1</v>
      </c>
      <c r="B6">
        <v>5</v>
      </c>
      <c r="C6" t="s">
        <v>32</v>
      </c>
      <c r="D6">
        <v>0</v>
      </c>
      <c r="E6">
        <v>5.5</v>
      </c>
      <c r="F6">
        <v>0.5</v>
      </c>
      <c r="G6">
        <v>5</v>
      </c>
      <c r="H6" t="s">
        <v>24</v>
      </c>
      <c r="I6">
        <v>8.8765500901999985</v>
      </c>
      <c r="J6">
        <v>0</v>
      </c>
      <c r="K6">
        <v>0</v>
      </c>
      <c r="L6">
        <v>3.3796913998289699E-4</v>
      </c>
      <c r="M6">
        <v>1.0139074199486908</v>
      </c>
      <c r="O6">
        <v>0.45062551997719597</v>
      </c>
      <c r="P6">
        <v>0.20278148398973819</v>
      </c>
      <c r="Q6" s="2">
        <v>0</v>
      </c>
    </row>
    <row r="7" spans="1:17" x14ac:dyDescent="0.25">
      <c r="A7">
        <v>1</v>
      </c>
      <c r="B7">
        <v>5</v>
      </c>
      <c r="C7" t="s">
        <v>32</v>
      </c>
      <c r="D7">
        <v>0</v>
      </c>
      <c r="E7">
        <v>5.5</v>
      </c>
      <c r="F7">
        <v>0.5</v>
      </c>
      <c r="G7">
        <v>6</v>
      </c>
      <c r="H7" t="s">
        <v>25</v>
      </c>
      <c r="I7">
        <v>8.7686698433749992</v>
      </c>
      <c r="J7">
        <v>0.79829667726499198</v>
      </c>
      <c r="K7">
        <v>0</v>
      </c>
      <c r="L7">
        <v>3.421271473992823E-4</v>
      </c>
      <c r="M7">
        <v>0.79829667726499198</v>
      </c>
      <c r="O7">
        <v>0.48011843018365952</v>
      </c>
      <c r="P7">
        <v>0.23948900317949762</v>
      </c>
      <c r="Q7" s="2">
        <v>0</v>
      </c>
    </row>
    <row r="8" spans="1:17" x14ac:dyDescent="0.25">
      <c r="A8">
        <v>1</v>
      </c>
      <c r="B8">
        <v>7</v>
      </c>
      <c r="C8" t="s">
        <v>32</v>
      </c>
      <c r="D8">
        <v>0</v>
      </c>
      <c r="E8">
        <v>5.5</v>
      </c>
      <c r="F8">
        <v>0.5</v>
      </c>
      <c r="G8">
        <v>7</v>
      </c>
      <c r="H8" t="s">
        <v>23</v>
      </c>
      <c r="I8">
        <v>12.842644915600001</v>
      </c>
      <c r="J8">
        <v>0.38932790191267252</v>
      </c>
      <c r="K8">
        <v>0</v>
      </c>
      <c r="L8">
        <v>3.8932790191267255E-4</v>
      </c>
      <c r="M8">
        <v>0.54505906267774151</v>
      </c>
      <c r="O8">
        <v>0.33949393046785048</v>
      </c>
      <c r="P8">
        <v>0.14794460272681556</v>
      </c>
      <c r="Q8" s="2">
        <v>0</v>
      </c>
    </row>
    <row r="9" spans="1:17" x14ac:dyDescent="0.25">
      <c r="A9">
        <v>1</v>
      </c>
      <c r="B9">
        <v>7</v>
      </c>
      <c r="C9" t="s">
        <v>32</v>
      </c>
      <c r="D9">
        <v>0</v>
      </c>
      <c r="E9">
        <v>5.5</v>
      </c>
      <c r="F9">
        <v>0.5</v>
      </c>
      <c r="G9">
        <v>8</v>
      </c>
      <c r="H9" t="s">
        <v>24</v>
      </c>
      <c r="I9">
        <v>8.8765500901999985</v>
      </c>
      <c r="J9">
        <v>0.90125103995439193</v>
      </c>
      <c r="K9">
        <v>0</v>
      </c>
      <c r="L9">
        <v>6.7593827996579399E-4</v>
      </c>
      <c r="M9">
        <v>0.56328189997149491</v>
      </c>
      <c r="O9">
        <v>0.4956880719749156</v>
      </c>
      <c r="P9">
        <v>0.19151584599030827</v>
      </c>
      <c r="Q9" s="2">
        <v>0</v>
      </c>
    </row>
    <row r="10" spans="1:17" x14ac:dyDescent="0.25">
      <c r="A10">
        <v>1</v>
      </c>
      <c r="B10">
        <v>7</v>
      </c>
      <c r="C10" t="s">
        <v>32</v>
      </c>
      <c r="D10">
        <v>0</v>
      </c>
      <c r="E10">
        <v>5.5</v>
      </c>
      <c r="F10">
        <v>0.5</v>
      </c>
      <c r="G10">
        <v>9</v>
      </c>
      <c r="H10" t="s">
        <v>25</v>
      </c>
      <c r="I10">
        <v>8.7686698433749992</v>
      </c>
      <c r="J10">
        <v>0.68425429479856459</v>
      </c>
      <c r="K10">
        <v>0</v>
      </c>
      <c r="L10">
        <v>5.7021191233213718E-4</v>
      </c>
      <c r="M10">
        <v>0.57021191233213719</v>
      </c>
      <c r="O10">
        <v>0.52687580699489478</v>
      </c>
      <c r="P10">
        <v>0.20527628843956938</v>
      </c>
      <c r="Q10" s="2">
        <v>0</v>
      </c>
    </row>
    <row r="11" spans="1:17" x14ac:dyDescent="0.25">
      <c r="A11">
        <v>1</v>
      </c>
      <c r="B11">
        <v>2</v>
      </c>
      <c r="C11" t="s">
        <v>33</v>
      </c>
      <c r="D11">
        <v>800</v>
      </c>
      <c r="E11">
        <v>5.5</v>
      </c>
      <c r="F11">
        <v>0.5</v>
      </c>
      <c r="G11">
        <v>10</v>
      </c>
      <c r="H11" t="s">
        <v>26</v>
      </c>
      <c r="I11">
        <v>12.14092493155</v>
      </c>
      <c r="J11">
        <v>0</v>
      </c>
      <c r="K11">
        <v>2.3803787736879132</v>
      </c>
      <c r="L11">
        <v>3.2946419012981496E-4</v>
      </c>
      <c r="M11">
        <v>27.839724065969364</v>
      </c>
      <c r="N11">
        <v>96.520034491753833</v>
      </c>
      <c r="O11">
        <v>0.67375426881547162</v>
      </c>
      <c r="P11">
        <v>0.10707586179218986</v>
      </c>
      <c r="Q11" s="2">
        <v>7225</v>
      </c>
    </row>
    <row r="12" spans="1:17" x14ac:dyDescent="0.25">
      <c r="A12">
        <v>1</v>
      </c>
      <c r="B12">
        <v>2</v>
      </c>
      <c r="C12" t="s">
        <v>33</v>
      </c>
      <c r="D12">
        <v>800</v>
      </c>
      <c r="E12">
        <v>5.5</v>
      </c>
      <c r="F12">
        <v>0.5</v>
      </c>
      <c r="G12">
        <v>11</v>
      </c>
      <c r="H12" t="s">
        <v>27</v>
      </c>
      <c r="I12">
        <v>12.538467025854999</v>
      </c>
      <c r="J12">
        <v>0</v>
      </c>
      <c r="K12">
        <v>2.2411033136711431</v>
      </c>
      <c r="L12">
        <v>2.3926369896844945E-4</v>
      </c>
      <c r="M12">
        <v>24.883424692718741</v>
      </c>
      <c r="N12">
        <v>96.889571913410151</v>
      </c>
      <c r="O12">
        <v>0.65398744384709506</v>
      </c>
      <c r="P12">
        <v>0.11165639285194306</v>
      </c>
      <c r="Q12" s="2">
        <v>9366.6666666666661</v>
      </c>
    </row>
    <row r="13" spans="1:17" x14ac:dyDescent="0.25">
      <c r="A13">
        <v>1</v>
      </c>
      <c r="B13">
        <v>2</v>
      </c>
      <c r="C13" t="s">
        <v>33</v>
      </c>
      <c r="D13">
        <v>800</v>
      </c>
      <c r="E13">
        <v>5.5</v>
      </c>
      <c r="F13">
        <v>0.5</v>
      </c>
      <c r="G13">
        <v>12</v>
      </c>
      <c r="H13" t="s">
        <v>28</v>
      </c>
      <c r="I13">
        <v>12.41155080503</v>
      </c>
      <c r="J13">
        <v>0</v>
      </c>
      <c r="K13">
        <v>2.2398490274667013</v>
      </c>
      <c r="L13">
        <v>2.4171032670503972E-4</v>
      </c>
      <c r="M13">
        <v>26.668706046456048</v>
      </c>
      <c r="N13">
        <v>96.666411744192999</v>
      </c>
      <c r="O13">
        <v>0.65181218101459037</v>
      </c>
      <c r="P13">
        <v>9.6684130682015881E-2</v>
      </c>
      <c r="Q13" s="2">
        <v>9266.6666666666661</v>
      </c>
    </row>
    <row r="14" spans="1:17" x14ac:dyDescent="0.25">
      <c r="A14">
        <v>1</v>
      </c>
      <c r="B14">
        <v>5</v>
      </c>
      <c r="C14" t="s">
        <v>33</v>
      </c>
      <c r="D14">
        <v>800</v>
      </c>
      <c r="E14">
        <v>5.5</v>
      </c>
      <c r="F14">
        <v>0.5</v>
      </c>
      <c r="G14">
        <v>13</v>
      </c>
      <c r="H14" t="s">
        <v>26</v>
      </c>
      <c r="I14">
        <v>12.14092493155</v>
      </c>
      <c r="J14">
        <v>0.16473209506490749</v>
      </c>
      <c r="K14">
        <v>1.1860710844673339</v>
      </c>
      <c r="L14">
        <v>2.4709814259736123E-4</v>
      </c>
      <c r="M14">
        <v>18.285262552204731</v>
      </c>
      <c r="N14">
        <v>97.714342180974413</v>
      </c>
      <c r="O14">
        <v>0.19273655122594174</v>
      </c>
      <c r="P14">
        <v>0.12354907129868062</v>
      </c>
      <c r="Q14" s="2">
        <v>4800</v>
      </c>
    </row>
    <row r="15" spans="1:17" x14ac:dyDescent="0.25">
      <c r="A15">
        <v>1</v>
      </c>
      <c r="B15">
        <v>5</v>
      </c>
      <c r="C15" t="s">
        <v>33</v>
      </c>
      <c r="D15">
        <v>800</v>
      </c>
      <c r="E15">
        <v>5.5</v>
      </c>
      <c r="F15">
        <v>0.5</v>
      </c>
      <c r="G15">
        <v>14</v>
      </c>
      <c r="H15" t="s">
        <v>27</v>
      </c>
      <c r="I15">
        <v>12.538467025854999</v>
      </c>
      <c r="J15">
        <v>7.9754566322816481E-2</v>
      </c>
      <c r="K15">
        <v>1.2122694081068104</v>
      </c>
      <c r="L15">
        <v>2.3926369896844945E-4</v>
      </c>
      <c r="M15">
        <v>0.17386495458373993</v>
      </c>
      <c r="N15">
        <v>99.978266880677026</v>
      </c>
      <c r="O15">
        <v>0.18503059386893422</v>
      </c>
      <c r="P15">
        <v>0.12760730611650636</v>
      </c>
      <c r="Q15" s="2">
        <v>5066.6666666666661</v>
      </c>
    </row>
    <row r="16" spans="1:17" x14ac:dyDescent="0.25">
      <c r="A16">
        <v>1</v>
      </c>
      <c r="B16">
        <v>5</v>
      </c>
      <c r="C16" t="s">
        <v>33</v>
      </c>
      <c r="D16">
        <v>800</v>
      </c>
      <c r="E16">
        <v>5.5</v>
      </c>
      <c r="F16">
        <v>0.5</v>
      </c>
      <c r="G16">
        <v>15</v>
      </c>
      <c r="H16" t="s">
        <v>28</v>
      </c>
      <c r="I16">
        <v>12.41155080503</v>
      </c>
      <c r="J16">
        <v>0.40285054450839952</v>
      </c>
      <c r="K16">
        <v>1.1843806008546947</v>
      </c>
      <c r="L16">
        <v>2.4171032670503972E-4</v>
      </c>
      <c r="M16">
        <v>17.6448538494679</v>
      </c>
      <c r="N16">
        <v>97.794393268816506</v>
      </c>
      <c r="O16">
        <v>0.19981387007616616</v>
      </c>
      <c r="P16">
        <v>0.11279815246235186</v>
      </c>
      <c r="Q16" s="2">
        <v>4900</v>
      </c>
    </row>
    <row r="17" spans="1:17" x14ac:dyDescent="0.25">
      <c r="A17">
        <v>1</v>
      </c>
      <c r="B17">
        <v>7</v>
      </c>
      <c r="C17" t="s">
        <v>33</v>
      </c>
      <c r="D17">
        <v>800</v>
      </c>
      <c r="E17">
        <v>5.5</v>
      </c>
      <c r="F17">
        <v>0.5</v>
      </c>
      <c r="G17">
        <v>16</v>
      </c>
      <c r="H17" t="s">
        <v>26</v>
      </c>
      <c r="I17">
        <v>12.14092493155</v>
      </c>
      <c r="J17">
        <v>1.8120530457139823</v>
      </c>
      <c r="K17">
        <v>0.26357135210385202</v>
      </c>
      <c r="L17">
        <v>4.1183023766226874E-4</v>
      </c>
      <c r="M17">
        <v>10.378121989089172</v>
      </c>
      <c r="N17">
        <v>98.702734751363849</v>
      </c>
      <c r="O17">
        <v>0.17708700219477555</v>
      </c>
      <c r="P17">
        <v>0.13178567605192601</v>
      </c>
      <c r="Q17" s="2">
        <v>640.00000000000011</v>
      </c>
    </row>
    <row r="18" spans="1:17" x14ac:dyDescent="0.25">
      <c r="A18">
        <v>1</v>
      </c>
      <c r="B18">
        <v>7</v>
      </c>
      <c r="C18" t="s">
        <v>33</v>
      </c>
      <c r="D18">
        <v>800</v>
      </c>
      <c r="E18">
        <v>5.5</v>
      </c>
      <c r="F18">
        <v>0.5</v>
      </c>
      <c r="G18">
        <v>17</v>
      </c>
      <c r="H18" t="s">
        <v>27</v>
      </c>
      <c r="I18">
        <v>12.538467025854999</v>
      </c>
      <c r="J18">
        <v>1.4355821938106967</v>
      </c>
      <c r="K18">
        <v>0.3030673520267026</v>
      </c>
      <c r="L18">
        <v>3.9877283161408243E-4</v>
      </c>
      <c r="M18">
        <v>9.6503025250607948</v>
      </c>
      <c r="N18">
        <v>98.793712184367394</v>
      </c>
      <c r="O18">
        <v>0.19220850483798774</v>
      </c>
      <c r="P18">
        <v>0.11963184948422471</v>
      </c>
      <c r="Q18" s="2">
        <v>759.99999999999989</v>
      </c>
    </row>
    <row r="19" spans="1:17" x14ac:dyDescent="0.25">
      <c r="A19">
        <v>1</v>
      </c>
      <c r="B19">
        <v>7</v>
      </c>
      <c r="C19" t="s">
        <v>33</v>
      </c>
      <c r="D19">
        <v>800</v>
      </c>
      <c r="E19">
        <v>5.5</v>
      </c>
      <c r="F19">
        <v>0.5</v>
      </c>
      <c r="G19">
        <v>18</v>
      </c>
      <c r="H19" t="s">
        <v>28</v>
      </c>
      <c r="I19">
        <v>12.41155080503</v>
      </c>
      <c r="J19">
        <v>0.3222804356067196</v>
      </c>
      <c r="K19">
        <v>0.24171032670503972</v>
      </c>
      <c r="L19">
        <v>3.2228043560671962E-4</v>
      </c>
      <c r="M19">
        <v>9.3461326325948697</v>
      </c>
      <c r="N19">
        <v>98.831733420925644</v>
      </c>
      <c r="O19">
        <v>0.19014545700796456</v>
      </c>
      <c r="P19">
        <v>0.11279815246235186</v>
      </c>
      <c r="Q19" s="2">
        <v>750</v>
      </c>
    </row>
    <row r="20" spans="1:17" x14ac:dyDescent="0.25">
      <c r="A20">
        <v>1</v>
      </c>
      <c r="B20">
        <v>2</v>
      </c>
      <c r="C20" t="s">
        <v>34</v>
      </c>
      <c r="D20">
        <v>800</v>
      </c>
      <c r="E20">
        <v>5.5</v>
      </c>
      <c r="F20">
        <v>0.5</v>
      </c>
      <c r="G20">
        <v>19</v>
      </c>
      <c r="H20" t="s">
        <v>29</v>
      </c>
      <c r="I20">
        <v>10.689925677875003</v>
      </c>
      <c r="J20">
        <v>0</v>
      </c>
      <c r="K20">
        <v>2.7502529845319073</v>
      </c>
      <c r="L20">
        <v>3.7418407952815067E-4</v>
      </c>
      <c r="M20">
        <v>39.00869029080971</v>
      </c>
      <c r="N20">
        <v>95.12391371364879</v>
      </c>
      <c r="O20">
        <v>0.76894828343034971</v>
      </c>
      <c r="P20">
        <v>0.11225522385844519</v>
      </c>
      <c r="Q20" s="2">
        <v>7349.9999999999991</v>
      </c>
    </row>
    <row r="21" spans="1:17" x14ac:dyDescent="0.25">
      <c r="A21">
        <v>1</v>
      </c>
      <c r="B21">
        <v>2</v>
      </c>
      <c r="C21" t="s">
        <v>34</v>
      </c>
      <c r="D21">
        <v>800</v>
      </c>
      <c r="E21">
        <v>5.5</v>
      </c>
      <c r="F21">
        <v>0.5</v>
      </c>
      <c r="G21">
        <v>20</v>
      </c>
      <c r="H21" t="s">
        <v>30</v>
      </c>
      <c r="I21">
        <v>8.2693964072949999</v>
      </c>
      <c r="J21">
        <v>0.24185562059108248</v>
      </c>
      <c r="K21">
        <v>3.5189992796002501</v>
      </c>
      <c r="L21">
        <v>3.6278343088662373E-4</v>
      </c>
      <c r="M21">
        <v>48.612979738807574</v>
      </c>
      <c r="N21">
        <v>93.923377532649056</v>
      </c>
      <c r="O21">
        <v>1.0024915473500366</v>
      </c>
      <c r="P21">
        <v>0.18139171544331184</v>
      </c>
      <c r="Q21" s="2">
        <v>9700</v>
      </c>
    </row>
    <row r="22" spans="1:17" x14ac:dyDescent="0.25">
      <c r="A22">
        <v>1</v>
      </c>
      <c r="B22">
        <v>2</v>
      </c>
      <c r="C22" t="s">
        <v>34</v>
      </c>
      <c r="D22">
        <v>800</v>
      </c>
      <c r="E22">
        <v>5.5</v>
      </c>
      <c r="F22">
        <v>0.5</v>
      </c>
      <c r="G22">
        <v>21</v>
      </c>
      <c r="H22" t="s">
        <v>31</v>
      </c>
      <c r="I22">
        <v>8.0785338429999989</v>
      </c>
      <c r="J22">
        <v>0</v>
      </c>
      <c r="K22">
        <v>3.5154893885365635</v>
      </c>
      <c r="L22">
        <v>3.7135451287358064E-4</v>
      </c>
      <c r="M22">
        <v>54.589113392416351</v>
      </c>
      <c r="N22">
        <v>93.176360825947953</v>
      </c>
      <c r="O22">
        <v>1.0311276974123089</v>
      </c>
      <c r="P22">
        <v>0.14854180514943224</v>
      </c>
      <c r="Q22" s="2">
        <v>9466.6666666666661</v>
      </c>
    </row>
    <row r="23" spans="1:17" x14ac:dyDescent="0.25">
      <c r="A23">
        <v>1</v>
      </c>
      <c r="B23">
        <v>5</v>
      </c>
      <c r="C23" t="s">
        <v>34</v>
      </c>
      <c r="D23">
        <v>800</v>
      </c>
      <c r="E23">
        <v>5.5</v>
      </c>
      <c r="F23">
        <v>0.5</v>
      </c>
      <c r="G23">
        <v>22</v>
      </c>
      <c r="H23" t="s">
        <v>29</v>
      </c>
      <c r="I23">
        <v>10.689925677875003</v>
      </c>
      <c r="J23">
        <v>0.37418407952815069</v>
      </c>
      <c r="K23">
        <v>1.693182959864882</v>
      </c>
      <c r="L23">
        <v>2.8063805964611302E-4</v>
      </c>
      <c r="M23">
        <v>33.395929097887446</v>
      </c>
      <c r="N23">
        <v>95.825508862764067</v>
      </c>
      <c r="O23">
        <v>0.33208837058123369</v>
      </c>
      <c r="P23">
        <v>0.14967363181126028</v>
      </c>
      <c r="Q23" s="2">
        <v>6033.3333333333339</v>
      </c>
    </row>
    <row r="24" spans="1:17" x14ac:dyDescent="0.25">
      <c r="A24">
        <v>1</v>
      </c>
      <c r="B24">
        <v>5</v>
      </c>
      <c r="C24" t="s">
        <v>34</v>
      </c>
      <c r="D24">
        <v>800</v>
      </c>
      <c r="E24">
        <v>5.5</v>
      </c>
      <c r="F24">
        <v>0.5</v>
      </c>
      <c r="G24">
        <v>23</v>
      </c>
      <c r="H24" t="s">
        <v>30</v>
      </c>
      <c r="I24">
        <v>8.2693964072949999</v>
      </c>
      <c r="J24">
        <v>0</v>
      </c>
      <c r="K24">
        <v>2.0920511181128636</v>
      </c>
      <c r="L24">
        <v>3.6278343088662373E-4</v>
      </c>
      <c r="M24">
        <v>42.445661413734975</v>
      </c>
      <c r="N24">
        <v>94.694292323283122</v>
      </c>
      <c r="O24">
        <v>0.40510816449006315</v>
      </c>
      <c r="P24">
        <v>0.21767005853197424</v>
      </c>
      <c r="Q24" s="2">
        <v>5766.666666666667</v>
      </c>
    </row>
    <row r="25" spans="1:17" x14ac:dyDescent="0.25">
      <c r="A25">
        <v>1</v>
      </c>
      <c r="B25">
        <v>5</v>
      </c>
      <c r="C25" t="s">
        <v>34</v>
      </c>
      <c r="D25">
        <v>800</v>
      </c>
      <c r="E25">
        <v>5.5</v>
      </c>
      <c r="F25">
        <v>0.5</v>
      </c>
      <c r="G25">
        <v>24</v>
      </c>
      <c r="H25" t="s">
        <v>31</v>
      </c>
      <c r="I25">
        <v>8.0785338429999989</v>
      </c>
      <c r="J25">
        <v>0</v>
      </c>
      <c r="K25">
        <v>2.1662346584292203</v>
      </c>
      <c r="L25">
        <v>3.7135451287358064E-4</v>
      </c>
      <c r="M25">
        <v>45.552820245825892</v>
      </c>
      <c r="N25">
        <v>94.30589746927177</v>
      </c>
      <c r="O25">
        <v>0.45181465732952308</v>
      </c>
      <c r="P25">
        <v>0.19805574019924302</v>
      </c>
      <c r="Q25" s="2">
        <v>5833.333333333333</v>
      </c>
    </row>
    <row r="26" spans="1:17" x14ac:dyDescent="0.25">
      <c r="A26">
        <v>1</v>
      </c>
      <c r="B26">
        <v>7</v>
      </c>
      <c r="C26" t="s">
        <v>34</v>
      </c>
      <c r="D26">
        <v>800</v>
      </c>
      <c r="E26">
        <v>5.5</v>
      </c>
      <c r="F26">
        <v>0.5</v>
      </c>
      <c r="G26">
        <v>25</v>
      </c>
      <c r="H26" t="s">
        <v>29</v>
      </c>
      <c r="I26">
        <v>10.689925677875003</v>
      </c>
      <c r="J26">
        <v>0.84191417893833898</v>
      </c>
      <c r="K26">
        <v>0.83255957695013527</v>
      </c>
      <c r="L26">
        <v>5.6127611929222604E-4</v>
      </c>
      <c r="M26">
        <v>22.918774871099227</v>
      </c>
      <c r="N26">
        <v>97.135153141112596</v>
      </c>
      <c r="O26">
        <v>0.31337916660482618</v>
      </c>
      <c r="P26">
        <v>0.1683828357876678</v>
      </c>
      <c r="Q26" s="2">
        <v>1483.3333333333333</v>
      </c>
    </row>
    <row r="27" spans="1:17" x14ac:dyDescent="0.25">
      <c r="A27">
        <v>1</v>
      </c>
      <c r="B27">
        <v>7</v>
      </c>
      <c r="C27" t="s">
        <v>34</v>
      </c>
      <c r="D27">
        <v>800</v>
      </c>
      <c r="E27">
        <v>5.5</v>
      </c>
      <c r="F27">
        <v>0.5</v>
      </c>
      <c r="G27">
        <v>26</v>
      </c>
      <c r="H27" t="s">
        <v>30</v>
      </c>
      <c r="I27">
        <v>8.2693964072949999</v>
      </c>
      <c r="J27">
        <v>0</v>
      </c>
      <c r="K27">
        <v>1.1367214167780877</v>
      </c>
      <c r="L27">
        <v>7.2556686177324746E-4</v>
      </c>
      <c r="M27">
        <v>28.901746660634355</v>
      </c>
      <c r="N27">
        <v>96.387281667420709</v>
      </c>
      <c r="O27">
        <v>0.41720094551961728</v>
      </c>
      <c r="P27">
        <v>0.20557727750242011</v>
      </c>
      <c r="Q27" s="2">
        <v>1566.6666666666667</v>
      </c>
    </row>
    <row r="28" spans="1:17" x14ac:dyDescent="0.25">
      <c r="A28">
        <v>1</v>
      </c>
      <c r="B28">
        <v>7</v>
      </c>
      <c r="C28" t="s">
        <v>34</v>
      </c>
      <c r="D28">
        <v>800</v>
      </c>
      <c r="E28">
        <v>5.5</v>
      </c>
      <c r="F28">
        <v>0.5</v>
      </c>
      <c r="G28">
        <v>27</v>
      </c>
      <c r="H28" t="s">
        <v>31</v>
      </c>
      <c r="I28">
        <v>8.0785338429999989</v>
      </c>
      <c r="J28">
        <v>0.12378483762452688</v>
      </c>
      <c r="K28">
        <v>1.2749838275326271</v>
      </c>
      <c r="L28">
        <v>8.6649386337168813E-4</v>
      </c>
      <c r="M28">
        <v>31.688918431878882</v>
      </c>
      <c r="N28">
        <v>96.038885196015144</v>
      </c>
      <c r="O28">
        <v>0.4481011122007873</v>
      </c>
      <c r="P28">
        <v>0.22281270772414838</v>
      </c>
      <c r="Q28" s="2">
        <v>1471.4285714285718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B5E6-8F78-4449-904B-06AE037F0648}">
  <dimension ref="A1:Q28"/>
  <sheetViews>
    <sheetView tabSelected="1" workbookViewId="0">
      <selection activeCell="U13" sqref="U13"/>
    </sheetView>
  </sheetViews>
  <sheetFormatPr defaultRowHeight="15" x14ac:dyDescent="0.25"/>
  <cols>
    <col min="2" max="2" width="19.5703125" customWidth="1"/>
    <col min="4" max="4" width="12.28515625" customWidth="1"/>
    <col min="9" max="9" width="17.28515625" customWidth="1"/>
    <col min="16" max="16" width="29.5703125" customWidth="1"/>
    <col min="17" max="17" width="16.140625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36</v>
      </c>
      <c r="E1" t="s">
        <v>1</v>
      </c>
      <c r="F1" t="s">
        <v>2</v>
      </c>
      <c r="G1" t="s">
        <v>15</v>
      </c>
      <c r="H1" t="s">
        <v>6</v>
      </c>
      <c r="I1" t="s">
        <v>5</v>
      </c>
      <c r="J1" t="s">
        <v>37</v>
      </c>
      <c r="K1" t="s">
        <v>38</v>
      </c>
      <c r="L1" t="s">
        <v>42</v>
      </c>
      <c r="M1" t="s">
        <v>39</v>
      </c>
      <c r="N1" t="s">
        <v>22</v>
      </c>
      <c r="O1" t="s">
        <v>40</v>
      </c>
      <c r="P1" t="s">
        <v>41</v>
      </c>
      <c r="Q1" t="s">
        <v>48</v>
      </c>
    </row>
    <row r="2" spans="1:17" x14ac:dyDescent="0.25">
      <c r="A2">
        <v>1</v>
      </c>
      <c r="B2">
        <v>2</v>
      </c>
      <c r="C2" t="s">
        <v>32</v>
      </c>
      <c r="D2">
        <v>0</v>
      </c>
      <c r="E2">
        <v>5.5</v>
      </c>
      <c r="F2">
        <v>0.5</v>
      </c>
      <c r="G2">
        <v>1</v>
      </c>
      <c r="H2" t="s">
        <v>23</v>
      </c>
      <c r="I2">
        <v>12.842644915600001</v>
      </c>
      <c r="J2">
        <v>0</v>
      </c>
      <c r="K2">
        <v>0</v>
      </c>
      <c r="L2">
        <v>4.6719348229520705E-4</v>
      </c>
      <c r="M2">
        <v>0.46719348229520707</v>
      </c>
      <c r="O2">
        <v>0.70624081406958805</v>
      </c>
      <c r="P2">
        <v>0.10122525449729486</v>
      </c>
      <c r="Q2">
        <v>0</v>
      </c>
    </row>
    <row r="3" spans="1:17" x14ac:dyDescent="0.25">
      <c r="A3">
        <v>1</v>
      </c>
      <c r="B3">
        <v>2</v>
      </c>
      <c r="C3" t="s">
        <v>32</v>
      </c>
      <c r="D3">
        <v>0</v>
      </c>
      <c r="E3">
        <v>5.5</v>
      </c>
      <c r="F3">
        <v>0.5</v>
      </c>
      <c r="G3">
        <v>2</v>
      </c>
      <c r="H3" t="s">
        <v>24</v>
      </c>
      <c r="I3">
        <v>8.8765500901999985</v>
      </c>
      <c r="J3">
        <v>0</v>
      </c>
      <c r="K3">
        <v>0</v>
      </c>
      <c r="L3">
        <v>4.5062551997719597E-4</v>
      </c>
      <c r="M3">
        <v>0.90125103995439193</v>
      </c>
      <c r="O3">
        <v>1.0262996217480638</v>
      </c>
      <c r="P3">
        <v>0.14645329399258869</v>
      </c>
      <c r="Q3">
        <v>0</v>
      </c>
    </row>
    <row r="4" spans="1:17" x14ac:dyDescent="0.25">
      <c r="A4">
        <v>1</v>
      </c>
      <c r="B4">
        <v>2</v>
      </c>
      <c r="C4" t="s">
        <v>32</v>
      </c>
      <c r="D4">
        <v>0</v>
      </c>
      <c r="E4">
        <v>5.5</v>
      </c>
      <c r="F4">
        <v>0.5</v>
      </c>
      <c r="G4">
        <v>3</v>
      </c>
      <c r="H4" t="s">
        <v>25</v>
      </c>
      <c r="I4">
        <v>8.7686698433749992</v>
      </c>
      <c r="J4">
        <v>0.91233905973141949</v>
      </c>
      <c r="K4">
        <v>0</v>
      </c>
      <c r="L4">
        <v>4.5616952986570977E-4</v>
      </c>
      <c r="M4">
        <v>0.68425429479856503</v>
      </c>
      <c r="O4">
        <v>1.0571728854637823</v>
      </c>
      <c r="P4">
        <v>0.1596593354529984</v>
      </c>
      <c r="Q4">
        <v>0</v>
      </c>
    </row>
    <row r="5" spans="1:17" x14ac:dyDescent="0.25">
      <c r="A5">
        <v>1</v>
      </c>
      <c r="B5">
        <v>5</v>
      </c>
      <c r="C5" t="s">
        <v>32</v>
      </c>
      <c r="D5">
        <v>0</v>
      </c>
      <c r="E5">
        <v>5.5</v>
      </c>
      <c r="F5">
        <v>0.5</v>
      </c>
      <c r="G5">
        <v>4</v>
      </c>
      <c r="H5" t="s">
        <v>23</v>
      </c>
      <c r="I5">
        <v>12.842644915600001</v>
      </c>
      <c r="J5">
        <v>0.38932790191267252</v>
      </c>
      <c r="K5">
        <v>0</v>
      </c>
      <c r="L5">
        <v>3.1146232153013805E-4</v>
      </c>
      <c r="M5">
        <v>0.38932790191267252</v>
      </c>
      <c r="O5">
        <v>0.32392081439134357</v>
      </c>
      <c r="P5">
        <v>0.14015804468856213</v>
      </c>
      <c r="Q5">
        <v>0</v>
      </c>
    </row>
    <row r="6" spans="1:17" x14ac:dyDescent="0.25">
      <c r="A6">
        <v>1</v>
      </c>
      <c r="B6">
        <v>5</v>
      </c>
      <c r="C6" t="s">
        <v>32</v>
      </c>
      <c r="D6">
        <v>0</v>
      </c>
      <c r="E6">
        <v>5.5</v>
      </c>
      <c r="F6">
        <v>0.5</v>
      </c>
      <c r="G6">
        <v>5</v>
      </c>
      <c r="H6" t="s">
        <v>24</v>
      </c>
      <c r="I6">
        <v>8.8765500901999985</v>
      </c>
      <c r="J6">
        <v>0</v>
      </c>
      <c r="K6">
        <v>0</v>
      </c>
      <c r="L6">
        <v>3.3796913998289699E-4</v>
      </c>
      <c r="M6">
        <v>1.0139074199486908</v>
      </c>
      <c r="O6">
        <v>0.45062551997719597</v>
      </c>
      <c r="P6">
        <v>0.20278148398973819</v>
      </c>
      <c r="Q6">
        <v>0</v>
      </c>
    </row>
    <row r="7" spans="1:17" x14ac:dyDescent="0.25">
      <c r="A7">
        <v>1</v>
      </c>
      <c r="B7">
        <v>5</v>
      </c>
      <c r="C7" t="s">
        <v>32</v>
      </c>
      <c r="D7">
        <v>0</v>
      </c>
      <c r="E7">
        <v>5.5</v>
      </c>
      <c r="F7">
        <v>0.5</v>
      </c>
      <c r="G7">
        <v>6</v>
      </c>
      <c r="H7" t="s">
        <v>25</v>
      </c>
      <c r="I7">
        <v>8.7686698433749992</v>
      </c>
      <c r="J7">
        <v>0.79829667726499198</v>
      </c>
      <c r="K7">
        <v>0</v>
      </c>
      <c r="L7">
        <v>3.421271473992823E-4</v>
      </c>
      <c r="M7">
        <v>0.79829667726499198</v>
      </c>
      <c r="O7">
        <v>0.48011843018365952</v>
      </c>
      <c r="P7">
        <v>0.23948900317949762</v>
      </c>
      <c r="Q7">
        <v>0</v>
      </c>
    </row>
    <row r="8" spans="1:17" x14ac:dyDescent="0.25">
      <c r="A8">
        <v>1</v>
      </c>
      <c r="B8">
        <v>7</v>
      </c>
      <c r="C8" t="s">
        <v>32</v>
      </c>
      <c r="D8">
        <v>0</v>
      </c>
      <c r="E8">
        <v>5.5</v>
      </c>
      <c r="F8">
        <v>0.5</v>
      </c>
      <c r="G8">
        <v>7</v>
      </c>
      <c r="H8" t="s">
        <v>23</v>
      </c>
      <c r="I8">
        <v>12.842644915600001</v>
      </c>
      <c r="J8">
        <v>0.38932790191267252</v>
      </c>
      <c r="K8">
        <v>0</v>
      </c>
      <c r="L8">
        <v>3.8932790191267255E-4</v>
      </c>
      <c r="M8">
        <v>0.54505906267774151</v>
      </c>
      <c r="O8">
        <v>0.33949393046785048</v>
      </c>
      <c r="P8">
        <v>0.14794460272681556</v>
      </c>
      <c r="Q8">
        <v>0</v>
      </c>
    </row>
    <row r="9" spans="1:17" x14ac:dyDescent="0.25">
      <c r="A9">
        <v>1</v>
      </c>
      <c r="B9">
        <v>7</v>
      </c>
      <c r="C9" t="s">
        <v>32</v>
      </c>
      <c r="D9">
        <v>0</v>
      </c>
      <c r="E9">
        <v>5.5</v>
      </c>
      <c r="F9">
        <v>0.5</v>
      </c>
      <c r="G9">
        <v>8</v>
      </c>
      <c r="H9" t="s">
        <v>24</v>
      </c>
      <c r="I9">
        <v>8.8765500901999985</v>
      </c>
      <c r="J9">
        <v>0.90125103995439193</v>
      </c>
      <c r="K9">
        <v>0</v>
      </c>
      <c r="L9">
        <v>6.7593827996579399E-4</v>
      </c>
      <c r="M9">
        <v>0.56328189997149491</v>
      </c>
      <c r="O9">
        <v>0.4956880719749156</v>
      </c>
      <c r="P9">
        <v>0.19151584599030827</v>
      </c>
      <c r="Q9">
        <v>0</v>
      </c>
    </row>
    <row r="10" spans="1:17" x14ac:dyDescent="0.25">
      <c r="A10">
        <v>1</v>
      </c>
      <c r="B10">
        <v>7</v>
      </c>
      <c r="C10" t="s">
        <v>32</v>
      </c>
      <c r="D10">
        <v>0</v>
      </c>
      <c r="E10">
        <v>5.5</v>
      </c>
      <c r="F10">
        <v>0.5</v>
      </c>
      <c r="G10">
        <v>9</v>
      </c>
      <c r="H10" t="s">
        <v>25</v>
      </c>
      <c r="I10">
        <v>8.7686698433749992</v>
      </c>
      <c r="J10">
        <v>0.68425429479856459</v>
      </c>
      <c r="K10">
        <v>0</v>
      </c>
      <c r="L10">
        <v>5.7021191233213718E-4</v>
      </c>
      <c r="M10">
        <v>0.57021191233213719</v>
      </c>
      <c r="O10">
        <v>0.52687580699489478</v>
      </c>
      <c r="P10">
        <v>0.20527628843956938</v>
      </c>
      <c r="Q10">
        <v>0</v>
      </c>
    </row>
    <row r="11" spans="1:17" x14ac:dyDescent="0.25">
      <c r="A11">
        <v>1</v>
      </c>
      <c r="B11">
        <v>2</v>
      </c>
      <c r="C11" t="s">
        <v>43</v>
      </c>
      <c r="D11">
        <v>800</v>
      </c>
      <c r="E11">
        <v>5.5</v>
      </c>
      <c r="F11">
        <v>0.5</v>
      </c>
      <c r="G11">
        <v>10</v>
      </c>
      <c r="H11" t="s">
        <v>26</v>
      </c>
      <c r="I11">
        <v>12.14092493155</v>
      </c>
      <c r="J11">
        <v>0</v>
      </c>
      <c r="K11">
        <v>2.3803787736879132</v>
      </c>
      <c r="L11">
        <v>3.2946419012981496E-4</v>
      </c>
      <c r="M11">
        <v>27.839724065969364</v>
      </c>
      <c r="N11">
        <v>96.520034491753833</v>
      </c>
      <c r="O11">
        <v>0.67375426881547162</v>
      </c>
      <c r="P11">
        <v>0.10707586179218986</v>
      </c>
      <c r="Q11">
        <v>7225</v>
      </c>
    </row>
    <row r="12" spans="1:17" x14ac:dyDescent="0.25">
      <c r="A12">
        <v>1</v>
      </c>
      <c r="B12">
        <v>2</v>
      </c>
      <c r="C12" s="2" t="s">
        <v>43</v>
      </c>
      <c r="D12">
        <v>800</v>
      </c>
      <c r="E12">
        <v>5.5</v>
      </c>
      <c r="F12">
        <v>0.5</v>
      </c>
      <c r="G12">
        <v>11</v>
      </c>
      <c r="H12" t="s">
        <v>27</v>
      </c>
      <c r="I12">
        <v>12.538467025854999</v>
      </c>
      <c r="J12">
        <v>0</v>
      </c>
      <c r="K12">
        <v>2.2411033136711431</v>
      </c>
      <c r="L12">
        <v>2.3926369896844945E-4</v>
      </c>
      <c r="M12">
        <v>24.883424692718741</v>
      </c>
      <c r="N12">
        <v>96.889571913410151</v>
      </c>
      <c r="O12">
        <v>0.65398744384709506</v>
      </c>
      <c r="P12">
        <v>0.11165639285194306</v>
      </c>
      <c r="Q12">
        <v>9366.6666666666661</v>
      </c>
    </row>
    <row r="13" spans="1:17" x14ac:dyDescent="0.25">
      <c r="A13">
        <v>1</v>
      </c>
      <c r="B13">
        <v>2</v>
      </c>
      <c r="C13" s="2" t="s">
        <v>43</v>
      </c>
      <c r="D13">
        <v>800</v>
      </c>
      <c r="E13">
        <v>5.5</v>
      </c>
      <c r="F13">
        <v>0.5</v>
      </c>
      <c r="G13">
        <v>12</v>
      </c>
      <c r="H13" t="s">
        <v>28</v>
      </c>
      <c r="I13">
        <v>12.41155080503</v>
      </c>
      <c r="J13">
        <v>0</v>
      </c>
      <c r="K13">
        <v>2.2398490274667013</v>
      </c>
      <c r="L13">
        <v>2.4171032670503972E-4</v>
      </c>
      <c r="M13">
        <v>26.668706046456048</v>
      </c>
      <c r="N13">
        <v>96.666411744192999</v>
      </c>
      <c r="O13">
        <v>0.65181218101459037</v>
      </c>
      <c r="P13">
        <v>9.6684130682015881E-2</v>
      </c>
      <c r="Q13">
        <v>9266.6666666666661</v>
      </c>
    </row>
    <row r="14" spans="1:17" x14ac:dyDescent="0.25">
      <c r="A14">
        <v>1</v>
      </c>
      <c r="B14">
        <v>5</v>
      </c>
      <c r="C14" s="2" t="s">
        <v>43</v>
      </c>
      <c r="D14">
        <v>800</v>
      </c>
      <c r="E14">
        <v>5.5</v>
      </c>
      <c r="F14">
        <v>0.5</v>
      </c>
      <c r="G14">
        <v>13</v>
      </c>
      <c r="H14" t="s">
        <v>26</v>
      </c>
      <c r="I14">
        <v>12.14092493155</v>
      </c>
      <c r="J14">
        <v>0.16473209506490749</v>
      </c>
      <c r="K14">
        <v>1.1860710844673339</v>
      </c>
      <c r="L14">
        <v>2.4709814259736123E-4</v>
      </c>
      <c r="M14">
        <v>18.285262552204731</v>
      </c>
      <c r="N14">
        <v>97.714342180974413</v>
      </c>
      <c r="O14">
        <v>0.19273655122594174</v>
      </c>
      <c r="P14">
        <v>0.12354907129868062</v>
      </c>
      <c r="Q14">
        <v>4800</v>
      </c>
    </row>
    <row r="15" spans="1:17" x14ac:dyDescent="0.25">
      <c r="A15">
        <v>1</v>
      </c>
      <c r="B15">
        <v>5</v>
      </c>
      <c r="C15" s="2" t="s">
        <v>43</v>
      </c>
      <c r="D15">
        <v>800</v>
      </c>
      <c r="E15">
        <v>5.5</v>
      </c>
      <c r="F15">
        <v>0.5</v>
      </c>
      <c r="G15">
        <v>14</v>
      </c>
      <c r="H15" t="s">
        <v>27</v>
      </c>
      <c r="I15">
        <v>12.538467025854999</v>
      </c>
      <c r="J15">
        <v>7.9754566322816481E-2</v>
      </c>
      <c r="K15">
        <v>1.2122694081068104</v>
      </c>
      <c r="L15">
        <v>2.3926369896844945E-4</v>
      </c>
      <c r="M15">
        <v>0.17386495458373993</v>
      </c>
      <c r="N15">
        <v>99.978266880677026</v>
      </c>
      <c r="O15">
        <v>0.18503059386893422</v>
      </c>
      <c r="P15">
        <v>0.12760730611650636</v>
      </c>
      <c r="Q15">
        <v>5066.6666666666661</v>
      </c>
    </row>
    <row r="16" spans="1:17" x14ac:dyDescent="0.25">
      <c r="A16">
        <v>1</v>
      </c>
      <c r="B16">
        <v>5</v>
      </c>
      <c r="C16" s="2" t="s">
        <v>43</v>
      </c>
      <c r="D16">
        <v>800</v>
      </c>
      <c r="E16">
        <v>5.5</v>
      </c>
      <c r="F16">
        <v>0.5</v>
      </c>
      <c r="G16">
        <v>15</v>
      </c>
      <c r="H16" t="s">
        <v>28</v>
      </c>
      <c r="I16">
        <v>12.41155080503</v>
      </c>
      <c r="J16">
        <v>0.40285054450839952</v>
      </c>
      <c r="K16">
        <v>1.1843806008546947</v>
      </c>
      <c r="L16">
        <v>2.4171032670503972E-4</v>
      </c>
      <c r="M16">
        <v>17.6448538494679</v>
      </c>
      <c r="N16">
        <v>97.794393268816506</v>
      </c>
      <c r="O16">
        <v>0.19981387007616616</v>
      </c>
      <c r="P16">
        <v>0.11279815246235186</v>
      </c>
      <c r="Q16">
        <v>4900</v>
      </c>
    </row>
    <row r="17" spans="1:17" x14ac:dyDescent="0.25">
      <c r="A17">
        <v>1</v>
      </c>
      <c r="B17">
        <v>7</v>
      </c>
      <c r="C17" s="2" t="s">
        <v>43</v>
      </c>
      <c r="D17">
        <v>800</v>
      </c>
      <c r="E17">
        <v>5.5</v>
      </c>
      <c r="F17">
        <v>0.5</v>
      </c>
      <c r="G17">
        <v>16</v>
      </c>
      <c r="H17" t="s">
        <v>26</v>
      </c>
      <c r="I17">
        <v>12.14092493155</v>
      </c>
      <c r="J17">
        <v>1.8120530457139823</v>
      </c>
      <c r="K17">
        <v>0.26357135210385202</v>
      </c>
      <c r="L17">
        <v>4.1183023766226874E-4</v>
      </c>
      <c r="M17">
        <v>10.378121989089172</v>
      </c>
      <c r="N17">
        <v>98.702734751363849</v>
      </c>
      <c r="O17">
        <v>0.17708700219477555</v>
      </c>
      <c r="P17">
        <v>0.13178567605192601</v>
      </c>
      <c r="Q17">
        <v>640.00000000000011</v>
      </c>
    </row>
    <row r="18" spans="1:17" x14ac:dyDescent="0.25">
      <c r="A18">
        <v>1</v>
      </c>
      <c r="B18">
        <v>7</v>
      </c>
      <c r="C18" s="2" t="s">
        <v>43</v>
      </c>
      <c r="D18">
        <v>800</v>
      </c>
      <c r="E18">
        <v>5.5</v>
      </c>
      <c r="F18">
        <v>0.5</v>
      </c>
      <c r="G18">
        <v>17</v>
      </c>
      <c r="H18" t="s">
        <v>27</v>
      </c>
      <c r="I18">
        <v>12.538467025854999</v>
      </c>
      <c r="J18">
        <v>1.4355821938106967</v>
      </c>
      <c r="K18">
        <v>0.3030673520267026</v>
      </c>
      <c r="L18">
        <v>3.9877283161408243E-4</v>
      </c>
      <c r="M18">
        <v>9.6503025250607948</v>
      </c>
      <c r="N18">
        <v>98.793712184367394</v>
      </c>
      <c r="O18">
        <v>0.19220850483798774</v>
      </c>
      <c r="P18">
        <v>0.11963184948422471</v>
      </c>
      <c r="Q18">
        <v>759.99999999999989</v>
      </c>
    </row>
    <row r="19" spans="1:17" x14ac:dyDescent="0.25">
      <c r="A19">
        <v>1</v>
      </c>
      <c r="B19">
        <v>7</v>
      </c>
      <c r="C19" s="2" t="s">
        <v>43</v>
      </c>
      <c r="D19">
        <v>800</v>
      </c>
      <c r="E19">
        <v>5.5</v>
      </c>
      <c r="F19">
        <v>0.5</v>
      </c>
      <c r="G19">
        <v>18</v>
      </c>
      <c r="H19" t="s">
        <v>28</v>
      </c>
      <c r="I19">
        <v>12.41155080503</v>
      </c>
      <c r="J19">
        <v>0.3222804356067196</v>
      </c>
      <c r="K19">
        <v>0.24171032670503972</v>
      </c>
      <c r="L19">
        <v>3.2228043560671962E-4</v>
      </c>
      <c r="M19">
        <v>9.3461326325948697</v>
      </c>
      <c r="N19">
        <v>98.831733420925644</v>
      </c>
      <c r="O19">
        <v>0.19014545700796456</v>
      </c>
      <c r="P19">
        <v>0.11279815246235186</v>
      </c>
      <c r="Q19">
        <v>750</v>
      </c>
    </row>
    <row r="20" spans="1:17" x14ac:dyDescent="0.25">
      <c r="A20">
        <v>1</v>
      </c>
      <c r="B20">
        <v>2</v>
      </c>
      <c r="C20" t="s">
        <v>44</v>
      </c>
      <c r="D20">
        <v>800</v>
      </c>
      <c r="E20">
        <v>5.5</v>
      </c>
      <c r="F20">
        <v>0.5</v>
      </c>
      <c r="G20">
        <v>19</v>
      </c>
      <c r="H20" t="s">
        <v>29</v>
      </c>
      <c r="I20">
        <v>10.689925677875003</v>
      </c>
      <c r="J20">
        <v>0</v>
      </c>
      <c r="K20">
        <v>2.7502529845319073</v>
      </c>
      <c r="L20">
        <v>3.7418407952815067E-4</v>
      </c>
      <c r="M20">
        <v>39.00869029080971</v>
      </c>
      <c r="N20">
        <v>95.12391371364879</v>
      </c>
      <c r="O20">
        <v>0.76894828343034971</v>
      </c>
      <c r="P20">
        <v>0.11225522385844519</v>
      </c>
      <c r="Q20">
        <v>7349.9999999999991</v>
      </c>
    </row>
    <row r="21" spans="1:17" x14ac:dyDescent="0.25">
      <c r="A21">
        <v>1</v>
      </c>
      <c r="B21">
        <v>2</v>
      </c>
      <c r="C21" s="2" t="s">
        <v>44</v>
      </c>
      <c r="D21">
        <v>800</v>
      </c>
      <c r="E21">
        <v>5.5</v>
      </c>
      <c r="F21">
        <v>0.5</v>
      </c>
      <c r="G21">
        <v>20</v>
      </c>
      <c r="H21" t="s">
        <v>30</v>
      </c>
      <c r="I21">
        <v>8.2693964072949999</v>
      </c>
      <c r="J21">
        <v>0.24185562059108248</v>
      </c>
      <c r="K21">
        <v>3.5189992796002501</v>
      </c>
      <c r="L21">
        <v>3.6278343088662373E-4</v>
      </c>
      <c r="M21">
        <v>48.612979738807574</v>
      </c>
      <c r="N21">
        <v>93.923377532649056</v>
      </c>
      <c r="O21">
        <v>1.0024915473500366</v>
      </c>
      <c r="P21">
        <v>0.18139171544331184</v>
      </c>
      <c r="Q21">
        <v>9700</v>
      </c>
    </row>
    <row r="22" spans="1:17" x14ac:dyDescent="0.25">
      <c r="A22">
        <v>1</v>
      </c>
      <c r="B22">
        <v>2</v>
      </c>
      <c r="C22" s="2" t="s">
        <v>44</v>
      </c>
      <c r="D22">
        <v>800</v>
      </c>
      <c r="E22">
        <v>5.5</v>
      </c>
      <c r="F22">
        <v>0.5</v>
      </c>
      <c r="G22">
        <v>21</v>
      </c>
      <c r="H22" t="s">
        <v>31</v>
      </c>
      <c r="I22">
        <v>8.0785338429999989</v>
      </c>
      <c r="J22">
        <v>0</v>
      </c>
      <c r="K22">
        <v>3.5154893885365635</v>
      </c>
      <c r="L22">
        <v>3.7135451287358064E-4</v>
      </c>
      <c r="M22">
        <v>54.589113392416351</v>
      </c>
      <c r="N22">
        <v>93.176360825947953</v>
      </c>
      <c r="O22">
        <v>1.0311276974123089</v>
      </c>
      <c r="P22">
        <v>0.14854180514943224</v>
      </c>
      <c r="Q22">
        <v>9466.6666666666661</v>
      </c>
    </row>
    <row r="23" spans="1:17" x14ac:dyDescent="0.25">
      <c r="A23">
        <v>1</v>
      </c>
      <c r="B23">
        <v>5</v>
      </c>
      <c r="C23" s="2" t="s">
        <v>44</v>
      </c>
      <c r="D23">
        <v>800</v>
      </c>
      <c r="E23">
        <v>5.5</v>
      </c>
      <c r="F23">
        <v>0.5</v>
      </c>
      <c r="G23">
        <v>22</v>
      </c>
      <c r="H23" t="s">
        <v>29</v>
      </c>
      <c r="I23">
        <v>10.689925677875003</v>
      </c>
      <c r="J23">
        <v>0.37418407952815069</v>
      </c>
      <c r="K23">
        <v>1.693182959864882</v>
      </c>
      <c r="L23">
        <v>2.8063805964611302E-4</v>
      </c>
      <c r="M23">
        <v>33.395929097887446</v>
      </c>
      <c r="N23">
        <v>95.825508862764067</v>
      </c>
      <c r="O23">
        <v>0.33208837058123369</v>
      </c>
      <c r="P23">
        <v>0.14967363181126028</v>
      </c>
      <c r="Q23">
        <v>6033.3333333333339</v>
      </c>
    </row>
    <row r="24" spans="1:17" x14ac:dyDescent="0.25">
      <c r="A24">
        <v>1</v>
      </c>
      <c r="B24">
        <v>5</v>
      </c>
      <c r="C24" s="2" t="s">
        <v>44</v>
      </c>
      <c r="D24">
        <v>800</v>
      </c>
      <c r="E24">
        <v>5.5</v>
      </c>
      <c r="F24">
        <v>0.5</v>
      </c>
      <c r="G24">
        <v>23</v>
      </c>
      <c r="H24" t="s">
        <v>30</v>
      </c>
      <c r="I24">
        <v>8.2693964072949999</v>
      </c>
      <c r="J24">
        <v>0</v>
      </c>
      <c r="K24">
        <v>2.0920511181128636</v>
      </c>
      <c r="L24">
        <v>3.6278343088662373E-4</v>
      </c>
      <c r="M24">
        <v>42.445661413734975</v>
      </c>
      <c r="N24">
        <v>94.694292323283122</v>
      </c>
      <c r="O24">
        <v>0.40510816449006315</v>
      </c>
      <c r="P24">
        <v>0.21767005853197424</v>
      </c>
      <c r="Q24">
        <v>5766.666666666667</v>
      </c>
    </row>
    <row r="25" spans="1:17" x14ac:dyDescent="0.25">
      <c r="A25">
        <v>1</v>
      </c>
      <c r="B25">
        <v>5</v>
      </c>
      <c r="C25" s="2" t="s">
        <v>44</v>
      </c>
      <c r="D25">
        <v>800</v>
      </c>
      <c r="E25">
        <v>5.5</v>
      </c>
      <c r="F25">
        <v>0.5</v>
      </c>
      <c r="G25">
        <v>24</v>
      </c>
      <c r="H25" t="s">
        <v>31</v>
      </c>
      <c r="I25">
        <v>8.0785338429999989</v>
      </c>
      <c r="J25">
        <v>0</v>
      </c>
      <c r="K25">
        <v>2.1662346584292203</v>
      </c>
      <c r="L25">
        <v>3.7135451287358064E-4</v>
      </c>
      <c r="M25">
        <v>45.552820245825892</v>
      </c>
      <c r="N25">
        <v>94.30589746927177</v>
      </c>
      <c r="O25">
        <v>0.45181465732952308</v>
      </c>
      <c r="P25">
        <v>0.19805574019924302</v>
      </c>
      <c r="Q25">
        <v>5833.333333333333</v>
      </c>
    </row>
    <row r="26" spans="1:17" x14ac:dyDescent="0.25">
      <c r="A26">
        <v>1</v>
      </c>
      <c r="B26">
        <v>7</v>
      </c>
      <c r="C26" s="2" t="s">
        <v>44</v>
      </c>
      <c r="D26">
        <v>800</v>
      </c>
      <c r="E26">
        <v>5.5</v>
      </c>
      <c r="F26">
        <v>0.5</v>
      </c>
      <c r="G26">
        <v>25</v>
      </c>
      <c r="H26" t="s">
        <v>29</v>
      </c>
      <c r="I26">
        <v>10.689925677875003</v>
      </c>
      <c r="J26">
        <v>0.84191417893833898</v>
      </c>
      <c r="K26">
        <v>0.83255957695013527</v>
      </c>
      <c r="L26">
        <v>5.6127611929222604E-4</v>
      </c>
      <c r="M26">
        <v>22.918774871099227</v>
      </c>
      <c r="N26">
        <v>97.135153141112596</v>
      </c>
      <c r="O26">
        <v>0.31337916660482618</v>
      </c>
      <c r="P26">
        <v>0.1683828357876678</v>
      </c>
      <c r="Q26">
        <v>1483.3333333333333</v>
      </c>
    </row>
    <row r="27" spans="1:17" x14ac:dyDescent="0.25">
      <c r="A27">
        <v>1</v>
      </c>
      <c r="B27">
        <v>7</v>
      </c>
      <c r="C27" s="2" t="s">
        <v>44</v>
      </c>
      <c r="D27">
        <v>800</v>
      </c>
      <c r="E27">
        <v>5.5</v>
      </c>
      <c r="F27">
        <v>0.5</v>
      </c>
      <c r="G27">
        <v>26</v>
      </c>
      <c r="H27" t="s">
        <v>30</v>
      </c>
      <c r="I27">
        <v>8.2693964072949999</v>
      </c>
      <c r="J27">
        <v>0</v>
      </c>
      <c r="K27">
        <v>1.1367214167780877</v>
      </c>
      <c r="L27">
        <v>7.2556686177324746E-4</v>
      </c>
      <c r="M27">
        <v>28.901746660634355</v>
      </c>
      <c r="N27">
        <v>96.387281667420709</v>
      </c>
      <c r="O27">
        <v>0.41720094551961728</v>
      </c>
      <c r="P27">
        <v>0.20557727750242011</v>
      </c>
      <c r="Q27">
        <v>1566.6666666666667</v>
      </c>
    </row>
    <row r="28" spans="1:17" x14ac:dyDescent="0.25">
      <c r="A28">
        <v>1</v>
      </c>
      <c r="B28">
        <v>7</v>
      </c>
      <c r="C28" s="2" t="s">
        <v>44</v>
      </c>
      <c r="D28">
        <v>800</v>
      </c>
      <c r="E28">
        <v>5.5</v>
      </c>
      <c r="F28">
        <v>0.5</v>
      </c>
      <c r="G28">
        <v>27</v>
      </c>
      <c r="H28" t="s">
        <v>31</v>
      </c>
      <c r="I28">
        <v>8.0785338429999989</v>
      </c>
      <c r="J28">
        <v>0.12378483762452688</v>
      </c>
      <c r="K28">
        <v>1.2749838275326271</v>
      </c>
      <c r="L28">
        <v>8.6649386337168813E-4</v>
      </c>
      <c r="M28">
        <v>31.688918431878882</v>
      </c>
      <c r="N28">
        <v>96.038885196015144</v>
      </c>
      <c r="O28">
        <v>0.4481011122007873</v>
      </c>
      <c r="P28">
        <v>0.22281270772414838</v>
      </c>
      <c r="Q28">
        <v>1471.4285714285718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70045-AD49-4433-8F5C-138AFECE78F1}">
  <dimension ref="A1:F19"/>
  <sheetViews>
    <sheetView workbookViewId="0">
      <selection activeCell="G7" sqref="G7"/>
    </sheetView>
  </sheetViews>
  <sheetFormatPr defaultRowHeight="15" x14ac:dyDescent="0.25"/>
  <cols>
    <col min="6" max="6" width="20.7109375" customWidth="1"/>
  </cols>
  <sheetData>
    <row r="1" spans="1:6" x14ac:dyDescent="0.25">
      <c r="A1" t="s">
        <v>4</v>
      </c>
      <c r="B1" t="s">
        <v>3</v>
      </c>
      <c r="C1" t="s">
        <v>36</v>
      </c>
      <c r="D1" t="s">
        <v>15</v>
      </c>
      <c r="E1" t="s">
        <v>6</v>
      </c>
      <c r="F1" t="s">
        <v>47</v>
      </c>
    </row>
    <row r="2" spans="1:6" x14ac:dyDescent="0.25">
      <c r="A2" s="2">
        <v>2</v>
      </c>
      <c r="B2" s="2" t="s">
        <v>45</v>
      </c>
      <c r="C2">
        <v>800</v>
      </c>
      <c r="D2">
        <v>10</v>
      </c>
      <c r="E2" t="s">
        <v>26</v>
      </c>
      <c r="F2">
        <v>96.520034491753833</v>
      </c>
    </row>
    <row r="3" spans="1:6" x14ac:dyDescent="0.25">
      <c r="A3" s="2">
        <v>2</v>
      </c>
      <c r="B3" s="2" t="s">
        <v>45</v>
      </c>
      <c r="C3">
        <v>800</v>
      </c>
      <c r="D3">
        <v>11</v>
      </c>
      <c r="E3" t="s">
        <v>27</v>
      </c>
      <c r="F3">
        <v>96.889571913410151</v>
      </c>
    </row>
    <row r="4" spans="1:6" x14ac:dyDescent="0.25">
      <c r="A4" s="2">
        <v>2</v>
      </c>
      <c r="B4" s="2" t="s">
        <v>45</v>
      </c>
      <c r="C4">
        <v>800</v>
      </c>
      <c r="D4">
        <v>12</v>
      </c>
      <c r="E4" t="s">
        <v>28</v>
      </c>
      <c r="F4">
        <v>96.666411744192999</v>
      </c>
    </row>
    <row r="5" spans="1:6" x14ac:dyDescent="0.25">
      <c r="A5" s="2">
        <v>5</v>
      </c>
      <c r="B5" s="2" t="s">
        <v>45</v>
      </c>
      <c r="C5">
        <v>800</v>
      </c>
      <c r="D5">
        <v>13</v>
      </c>
      <c r="E5" t="s">
        <v>26</v>
      </c>
      <c r="F5">
        <v>97.714342180974413</v>
      </c>
    </row>
    <row r="6" spans="1:6" x14ac:dyDescent="0.25">
      <c r="A6" s="2">
        <v>5</v>
      </c>
      <c r="B6" s="2" t="s">
        <v>45</v>
      </c>
      <c r="C6">
        <v>800</v>
      </c>
      <c r="D6">
        <v>14</v>
      </c>
      <c r="E6" t="s">
        <v>27</v>
      </c>
      <c r="F6">
        <v>99.978266880677026</v>
      </c>
    </row>
    <row r="7" spans="1:6" x14ac:dyDescent="0.25">
      <c r="A7" s="2">
        <v>5</v>
      </c>
      <c r="B7" s="2" t="s">
        <v>45</v>
      </c>
      <c r="C7">
        <v>800</v>
      </c>
      <c r="D7">
        <v>15</v>
      </c>
      <c r="E7" t="s">
        <v>28</v>
      </c>
      <c r="F7">
        <v>97.794393268816506</v>
      </c>
    </row>
    <row r="8" spans="1:6" x14ac:dyDescent="0.25">
      <c r="A8" s="2">
        <v>7</v>
      </c>
      <c r="B8" s="2" t="s">
        <v>45</v>
      </c>
      <c r="C8">
        <v>800</v>
      </c>
      <c r="D8">
        <v>16</v>
      </c>
      <c r="E8" t="s">
        <v>26</v>
      </c>
      <c r="F8">
        <v>98.702734751363849</v>
      </c>
    </row>
    <row r="9" spans="1:6" x14ac:dyDescent="0.25">
      <c r="A9">
        <v>7</v>
      </c>
      <c r="B9" s="2" t="s">
        <v>45</v>
      </c>
      <c r="C9">
        <v>800</v>
      </c>
      <c r="D9">
        <v>17</v>
      </c>
      <c r="E9" t="s">
        <v>27</v>
      </c>
      <c r="F9">
        <v>98.793712184367394</v>
      </c>
    </row>
    <row r="10" spans="1:6" x14ac:dyDescent="0.25">
      <c r="A10">
        <v>7</v>
      </c>
      <c r="B10" s="2" t="s">
        <v>45</v>
      </c>
      <c r="C10">
        <v>800</v>
      </c>
      <c r="D10">
        <v>18</v>
      </c>
      <c r="E10" t="s">
        <v>28</v>
      </c>
      <c r="F10">
        <v>98.831733420925644</v>
      </c>
    </row>
    <row r="11" spans="1:6" x14ac:dyDescent="0.25">
      <c r="A11">
        <v>2</v>
      </c>
      <c r="B11" t="s">
        <v>46</v>
      </c>
      <c r="C11">
        <v>800</v>
      </c>
      <c r="D11">
        <v>19</v>
      </c>
      <c r="E11" t="s">
        <v>29</v>
      </c>
      <c r="F11">
        <v>95.12391371364879</v>
      </c>
    </row>
    <row r="12" spans="1:6" x14ac:dyDescent="0.25">
      <c r="A12">
        <v>2</v>
      </c>
      <c r="B12" s="2" t="s">
        <v>46</v>
      </c>
      <c r="C12">
        <v>800</v>
      </c>
      <c r="D12">
        <v>20</v>
      </c>
      <c r="E12" t="s">
        <v>30</v>
      </c>
      <c r="F12">
        <v>93.923377532649056</v>
      </c>
    </row>
    <row r="13" spans="1:6" x14ac:dyDescent="0.25">
      <c r="A13">
        <v>2</v>
      </c>
      <c r="B13" s="2" t="s">
        <v>46</v>
      </c>
      <c r="C13">
        <v>800</v>
      </c>
      <c r="D13">
        <v>21</v>
      </c>
      <c r="E13" t="s">
        <v>31</v>
      </c>
      <c r="F13">
        <v>93.176360825947953</v>
      </c>
    </row>
    <row r="14" spans="1:6" x14ac:dyDescent="0.25">
      <c r="A14">
        <v>5</v>
      </c>
      <c r="B14" s="2" t="s">
        <v>46</v>
      </c>
      <c r="C14">
        <v>800</v>
      </c>
      <c r="D14">
        <v>22</v>
      </c>
      <c r="E14" t="s">
        <v>29</v>
      </c>
      <c r="F14">
        <v>95.825508862764067</v>
      </c>
    </row>
    <row r="15" spans="1:6" x14ac:dyDescent="0.25">
      <c r="A15">
        <v>5</v>
      </c>
      <c r="B15" s="2" t="s">
        <v>46</v>
      </c>
      <c r="C15">
        <v>800</v>
      </c>
      <c r="D15">
        <v>23</v>
      </c>
      <c r="E15" t="s">
        <v>30</v>
      </c>
      <c r="F15">
        <v>94.694292323283122</v>
      </c>
    </row>
    <row r="16" spans="1:6" x14ac:dyDescent="0.25">
      <c r="A16">
        <v>5</v>
      </c>
      <c r="B16" s="2" t="s">
        <v>46</v>
      </c>
      <c r="C16">
        <v>800</v>
      </c>
      <c r="D16">
        <v>24</v>
      </c>
      <c r="E16" t="s">
        <v>31</v>
      </c>
      <c r="F16">
        <v>94.30589746927177</v>
      </c>
    </row>
    <row r="17" spans="1:6" x14ac:dyDescent="0.25">
      <c r="A17">
        <v>7</v>
      </c>
      <c r="B17" s="2" t="s">
        <v>46</v>
      </c>
      <c r="C17">
        <v>800</v>
      </c>
      <c r="D17">
        <v>25</v>
      </c>
      <c r="E17" t="s">
        <v>29</v>
      </c>
      <c r="F17">
        <v>97.135153141112596</v>
      </c>
    </row>
    <row r="18" spans="1:6" x14ac:dyDescent="0.25">
      <c r="A18">
        <v>7</v>
      </c>
      <c r="B18" s="2" t="s">
        <v>46</v>
      </c>
      <c r="C18">
        <v>800</v>
      </c>
      <c r="D18">
        <v>26</v>
      </c>
      <c r="E18" t="s">
        <v>30</v>
      </c>
      <c r="F18">
        <v>96.387281667420709</v>
      </c>
    </row>
    <row r="19" spans="1:6" x14ac:dyDescent="0.25">
      <c r="A19">
        <v>7</v>
      </c>
      <c r="B19" s="2" t="s">
        <v>46</v>
      </c>
      <c r="C19">
        <v>800</v>
      </c>
      <c r="D19">
        <v>27</v>
      </c>
      <c r="E19" t="s">
        <v>31</v>
      </c>
      <c r="F19">
        <v>96.038885196015144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Formulas</vt:lpstr>
      <vt:lpstr>All Data</vt:lpstr>
      <vt:lpstr>Data for R</vt:lpstr>
      <vt:lpstr>FA Uptake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2021-09-23T14:58:05Z</dcterms:created>
  <dcterms:modified xsi:type="dcterms:W3CDTF">2021-12-07T11:47:42Z</dcterms:modified>
</cp:coreProperties>
</file>